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yt\xll_ml\xlsx\"/>
    </mc:Choice>
  </mc:AlternateContent>
  <xr:revisionPtr revIDLastSave="0" documentId="13_ncr:1_{B32B7317-92C0-4054-810B-18B8445DBB07}" xr6:coauthVersionLast="47" xr6:coauthVersionMax="47" xr10:uidLastSave="{00000000-0000-0000-0000-000000000000}"/>
  <bookViews>
    <workbookView xWindow="12470" yWindow="150" windowWidth="13130" windowHeight="15130" firstSheet="2" activeTab="2" xr2:uid="{5E38A752-04D7-4C78-952F-E31FCF3159F7}"/>
  </bookViews>
  <sheets>
    <sheet name="Elementary" sheetId="1" r:id="rId1"/>
    <sheet name="Simulation" sheetId="4" r:id="rId2"/>
    <sheet name="Accuracy" sheetId="5" r:id="rId3"/>
    <sheet name="Simulation (2)" sheetId="6" r:id="rId4"/>
    <sheet name="Accuracy (2)" sheetId="7" r:id="rId5"/>
  </sheets>
  <definedNames>
    <definedName name="_M" localSheetId="3">_xlfn.ANCHORARRAY('Simulation (2)'!$H$10)</definedName>
    <definedName name="_M">_xlfn.ANCHORARRAY(Simulation!$H$10)</definedName>
    <definedName name="_N" localSheetId="3">_xlfn.ANCHORARRAY('Simulation (2)'!$I$10)</definedName>
    <definedName name="_N">_xlfn.ANCHORARRAY(Simulation!$I$10)</definedName>
    <definedName name="A" localSheetId="3">_xlfn.ANCHORARRAY('Simulation (2)'!$K$10)</definedName>
    <definedName name="A">_xlfn.ANCHORARRAY(Simulation!$K$10)</definedName>
    <definedName name="ad">_xlfn.LAMBDA(_xlpm.x, _xlfn.VSTACK(_xlfn.TAKE(_xlpm.x,1), _xlfn.DROP(_xlpm.x,1) - _xlfn.DROP(_xlpm.x,-1)))</definedName>
    <definedName name="B_" localSheetId="3">_xlfn.ANCHORARRAY('Simulation (2)'!$C$10)</definedName>
    <definedName name="B_">_xlfn.ANCHORARRAY(Simulation!$C$10)</definedName>
    <definedName name="co">_xlfn.LAMBDA(_xlpm.x,_xlfn.LET(_xlpm.x_,_xlfn.DROP(_xlpm.x,-1),_xlfn.VSTACK(_xlpm.x_, -SUM(_xlpm.x_))))</definedName>
    <definedName name="dt" localSheetId="3">'Simulation (2)'!$C$6</definedName>
    <definedName name="dt">Simulation!$C$6</definedName>
    <definedName name="error" localSheetId="3">'Simulation (2)'!$G$6</definedName>
    <definedName name="error">Simulation!$G$6</definedName>
    <definedName name="f" localSheetId="3">'Simulation (2)'!$C$3</definedName>
    <definedName name="f">Simulation!$C$3</definedName>
    <definedName name="hedge" localSheetId="3">'Simulation (2)'!$G$5</definedName>
    <definedName name="hedge">Simulation!$G$5</definedName>
    <definedName name="k" localSheetId="3">'Simulation (2)'!$C$7</definedName>
    <definedName name="k">Simulation!$C$7</definedName>
    <definedName name="last" localSheetId="3">'Simulation (2)'!$G$3</definedName>
    <definedName name="last">Simulation!$G$3</definedName>
    <definedName name="M" localSheetId="3">_xlfn.ANCHORARRAY('Simulation (2)'!$F$10)</definedName>
    <definedName name="M">_xlfn.ANCHORARRAY(Simulation!$F$10)</definedName>
    <definedName name="mu" localSheetId="3">'Simulation (2)'!$C$2</definedName>
    <definedName name="mu">Simulation!$C$2</definedName>
    <definedName name="N" localSheetId="3">_xlfn.ANCHORARRAY('Simulation (2)'!$G$10)</definedName>
    <definedName name="N">_xlfn.ANCHORARRAY(Simulation!$G$10)</definedName>
    <definedName name="payoff" localSheetId="3">'Simulation (2)'!$G$4</definedName>
    <definedName name="payoff">Simulation!$G$4</definedName>
    <definedName name="put" localSheetId="3">'Simulation (2)'!$G$2</definedName>
    <definedName name="put">Simulation!$G$2</definedName>
    <definedName name="R_" localSheetId="3">_xlfn.ANCHORARRAY('Simulation (2)'!$D$10)</definedName>
    <definedName name="R_">_xlfn.ANCHORARRAY(Simulation!$D$10)</definedName>
    <definedName name="S_" localSheetId="3">_xlfn.ANCHORARRAY('Simulation (2)'!$E$10)</definedName>
    <definedName name="S_">_xlfn.ANCHORARRAY(Simulation!$E$10)</definedName>
    <definedName name="sigma" localSheetId="3">'Simulation (2)'!$C$4</definedName>
    <definedName name="sigma">Simulation!$C$4</definedName>
    <definedName name="t" localSheetId="3">'Simulation (2)'!$C$5</definedName>
    <definedName name="t">Simulation!$C$5</definedName>
    <definedName name="t_" localSheetId="3">_xlfn.ANCHORARRAY('Simulation (2)'!$B$10)</definedName>
    <definedName name="t_">_xlfn.ANCHORARRAY(Simulation!$B$10)</definedName>
    <definedName name="V" localSheetId="3">_xlfn.ANCHORARRAY('Simulation (2)'!$J$10)</definedName>
    <definedName name="V">_xlfn.ANCHORARRAY(Simulation!$J$10)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O3" i="6" a="1"/>
  <c r="E2" i="5"/>
  <c r="E3" i="5"/>
  <c r="E4" i="5"/>
  <c r="E5" i="5"/>
  <c r="E6" i="5"/>
  <c r="E7" i="5"/>
  <c r="E8" i="5"/>
  <c r="E9" i="5"/>
  <c r="E10" i="5"/>
  <c r="E11" i="5"/>
  <c r="D3" i="5"/>
  <c r="D4" i="5"/>
  <c r="D5" i="5"/>
  <c r="D6" i="5"/>
  <c r="D7" i="5"/>
  <c r="D8" i="5"/>
  <c r="D9" i="5"/>
  <c r="D10" i="5"/>
  <c r="D11" i="5"/>
  <c r="D2" i="5"/>
  <c r="C6" i="4"/>
  <c r="O3" i="4" a="1"/>
  <c r="O3" i="4" s="1"/>
  <c r="H4" i="1"/>
  <c r="F5" i="1"/>
  <c r="D5" i="1"/>
  <c r="D4" i="1"/>
  <c r="I2" i="6" a="1"/>
  <c r="K2" i="4" a="1"/>
  <c r="J2" i="4" a="1"/>
  <c r="J2" i="6" a="1"/>
  <c r="G2" i="6" a="1"/>
  <c r="G2" i="4" a="1"/>
  <c r="K2" i="6" a="1"/>
  <c r="I2" i="4" a="1"/>
  <c r="B1" i="6" a="1"/>
  <c r="B10" i="6" a="1"/>
  <c r="B10" i="4" a="1"/>
  <c r="B1" i="4" a="1"/>
  <c r="P3" i="4" l="1" a="1"/>
  <c r="P3" i="4" s="1"/>
  <c r="N21" i="6"/>
  <c r="P20" i="6"/>
  <c r="B10" i="6"/>
  <c r="B1" i="6"/>
  <c r="K2" i="6"/>
  <c r="G2" i="6"/>
  <c r="J2" i="6"/>
  <c r="I2" i="6"/>
  <c r="P3" i="6" a="1"/>
  <c r="P3" i="6" s="1"/>
  <c r="O3" i="6"/>
  <c r="B1" i="4"/>
  <c r="N21" i="4"/>
  <c r="P20" i="4"/>
  <c r="K2" i="4"/>
  <c r="J2" i="4"/>
  <c r="I2" i="4"/>
  <c r="G2" i="4"/>
  <c r="B10" i="4"/>
  <c r="K5" i="1"/>
  <c r="E4" i="1"/>
  <c r="C10" i="6" a="1"/>
  <c r="C10" i="4" a="1"/>
  <c r="M20" i="6" a="1"/>
  <c r="M21" i="6" l="1"/>
  <c r="M20" i="6"/>
  <c r="C10" i="6"/>
  <c r="E10" i="6" s="1" a="1"/>
  <c r="M14" i="6"/>
  <c r="L2" i="6"/>
  <c r="M2" i="6" s="1"/>
  <c r="M14" i="4"/>
  <c r="C10" i="4"/>
  <c r="L2" i="4"/>
  <c r="M2" i="4" s="1"/>
  <c r="G4" i="1"/>
  <c r="E5" i="1"/>
  <c r="J5" i="1" s="1"/>
  <c r="L5" i="1" s="1"/>
  <c r="J4" i="1"/>
  <c r="M16" i="6" a="1"/>
  <c r="O20" i="6" a="1"/>
  <c r="M20" i="4" a="1"/>
  <c r="I10" i="6" l="1" a="1"/>
  <c r="I10" i="6" s="1"/>
  <c r="O21" i="6"/>
  <c r="O20" i="6"/>
  <c r="M16" i="6"/>
  <c r="E10" i="6"/>
  <c r="N14" i="6"/>
  <c r="G3" i="6" a="1"/>
  <c r="G3" i="6" s="1"/>
  <c r="G4" i="6" s="1"/>
  <c r="D10" i="6" a="1"/>
  <c r="D10" i="6" s="1"/>
  <c r="M21" i="4"/>
  <c r="M20" i="4"/>
  <c r="E10" i="4" a="1"/>
  <c r="D10" i="4" a="1"/>
  <c r="D10" i="4" s="1"/>
  <c r="G5" i="1" a="1"/>
  <c r="G5" i="1" s="1"/>
  <c r="I5" i="1" s="1"/>
  <c r="I4" i="1"/>
  <c r="H4" i="6" a="1"/>
  <c r="O20" i="4" a="1"/>
  <c r="M16" i="4" a="1"/>
  <c r="L10" i="6" l="1" a="1"/>
  <c r="L10" i="6" s="1"/>
  <c r="N16" i="6"/>
  <c r="G10" i="6" a="1"/>
  <c r="H4" i="6"/>
  <c r="I4" i="6"/>
  <c r="M16" i="4"/>
  <c r="N14" i="4"/>
  <c r="O20" i="4"/>
  <c r="O21" i="4"/>
  <c r="E10" i="4"/>
  <c r="I10" i="4" a="1"/>
  <c r="G10" i="6" l="1"/>
  <c r="M10" i="6" s="1"/>
  <c r="M11" i="6"/>
  <c r="N16" i="4"/>
  <c r="I10" i="4"/>
  <c r="L10" i="4" a="1"/>
  <c r="L10" i="4" s="1"/>
  <c r="G3" i="4" a="1"/>
  <c r="G3" i="4" s="1"/>
  <c r="G4" i="4" s="1"/>
  <c r="H4" i="4" a="1"/>
  <c r="F10" i="6" l="1" a="1"/>
  <c r="G10" i="4" a="1"/>
  <c r="G10" i="4" s="1"/>
  <c r="F10" i="4" s="1" a="1"/>
  <c r="H4" i="4"/>
  <c r="I4" i="4"/>
  <c r="N11" i="6" l="1"/>
  <c r="F10" i="6"/>
  <c r="N10" i="6" s="1"/>
  <c r="M10" i="4"/>
  <c r="M11" i="4"/>
  <c r="N11" i="4" s="1"/>
  <c r="F10" i="4"/>
  <c r="K10" i="4" s="1" a="1"/>
  <c r="K10" i="4" s="1"/>
  <c r="G5" i="4" s="1" a="1"/>
  <c r="G5" i="4" s="1"/>
  <c r="G6" i="4" s="1"/>
  <c r="H6" i="4" a="1"/>
  <c r="H10" i="6" l="1" a="1"/>
  <c r="H10" i="6" s="1"/>
  <c r="K10" i="6" a="1"/>
  <c r="H6" i="4"/>
  <c r="I6" i="4"/>
  <c r="J6" i="4" s="1"/>
  <c r="N10" i="4"/>
  <c r="H10" i="4" a="1"/>
  <c r="H10" i="4" s="1"/>
  <c r="J10" i="4" s="1" a="1"/>
  <c r="J10" i="4" s="1"/>
  <c r="J10" i="6" l="1" a="1"/>
  <c r="J10" i="6" s="1"/>
  <c r="G5" i="6" a="1"/>
  <c r="G5" i="6" s="1"/>
  <c r="G6" i="6" s="1"/>
  <c r="K10" i="6"/>
  <c r="H6" i="6" a="1"/>
  <c r="H6" i="6" l="1"/>
  <c r="I6" i="6"/>
  <c r="J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11EC72C2-EA02-4BCF-BE17-CDD3CFEC86F9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C49748C5-0088-485F-9218-A05751C6DE28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<sst xmlns="http://schemas.openxmlformats.org/spreadsheetml/2006/main" count="81" uniqueCount="39">
  <si>
    <t>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</si>
  <si>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</si>
  <si>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</si>
  <si>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</si>
  <si>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</si>
  <si>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</si>
  <si>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</si>
  <si>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</si>
  <si>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</si>
  <si>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</si>
  <si>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Γ</t>
  </si>
  <si>
    <t>(Δ+Γ).X</t>
  </si>
  <si>
    <t>-Γ.X</t>
  </si>
  <si>
    <t>Δ+Γ</t>
  </si>
  <si>
    <t>sigma</t>
  </si>
  <si>
    <t>mu</t>
  </si>
  <si>
    <t>f</t>
  </si>
  <si>
    <t>k</t>
  </si>
  <si>
    <t>R_</t>
  </si>
  <si>
    <t>S_</t>
  </si>
  <si>
    <t>put</t>
  </si>
  <si>
    <t>dt</t>
  </si>
  <si>
    <t>t_</t>
  </si>
  <si>
    <t>B_</t>
  </si>
  <si>
    <t>payoff</t>
  </si>
  <si>
    <t>hedge</t>
  </si>
  <si>
    <t>_M</t>
  </si>
  <si>
    <t>_N</t>
  </si>
  <si>
    <t>last</t>
  </si>
  <si>
    <t>error</t>
  </si>
  <si>
    <t>accuracy</t>
  </si>
  <si>
    <t>intrinsic</t>
  </si>
  <si>
    <t>dt</t>
    <phoneticPr fontId="13" type="noConversion"/>
  </si>
  <si>
    <t>accuracy</t>
    <phoneticPr fontId="13" type="noConversion"/>
  </si>
  <si>
    <t>log_dt</t>
    <phoneticPr fontId="13" type="noConversion"/>
  </si>
  <si>
    <t>log_acc</t>
    <phoneticPr fontId="13" type="noConversion"/>
  </si>
  <si>
    <r>
      <rPr>
        <b/>
        <sz val="14"/>
        <color theme="1"/>
        <rFont val="等线"/>
        <family val="3"/>
        <charset val="134"/>
        <scheme val="minor"/>
      </rPr>
      <t>guess for the relationship between dt and accuracy:</t>
    </r>
    <r>
      <rPr>
        <sz val="14"/>
        <color theme="1"/>
        <rFont val="等线"/>
        <family val="2"/>
        <scheme val="minor"/>
      </rPr>
      <t xml:space="preserve"> accuracy will increase as dt increases, and it seems has a linear relationship between the log transformation dt and accuracy.</t>
    </r>
    <phoneticPr fontId="13" type="noConversion"/>
  </si>
  <si>
    <r>
      <rPr>
        <b/>
        <sz val="14"/>
        <color theme="1"/>
        <rFont val="等线"/>
        <family val="3"/>
        <charset val="134"/>
        <scheme val="minor"/>
      </rPr>
      <t>guess for the relationship between dt and accuracy:</t>
    </r>
    <r>
      <rPr>
        <sz val="14"/>
        <color theme="1"/>
        <rFont val="等线"/>
        <family val="2"/>
        <scheme val="minor"/>
      </rPr>
      <t xml:space="preserve"> there's no obvious relationship between dt and accuracy based on the new traidng strategy.</t>
    </r>
    <phoneticPr fontId="13" type="noConversion"/>
  </si>
  <si>
    <t>s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</si>
</sst>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&quot;0x&quot;#"/>
    <numFmt numFmtId="177" formatCode="0.0000"/>
    <numFmt numFmtId="178" formatCode="0.000"/>
    <numFmt numFmtId="179" formatCode="0.0%"/>
    <numFmt numFmtId="180" formatCode="_(* #,##0_);_(* \(#,##0\);_(* &quot;-&quot;??_);_(@_)"/>
  </numFmts>
  <fonts count="16" x14ac:knownFonts="1">
    <font>
      <sz val="14"/>
      <color theme="1"/>
      <name val="等线"/>
      <family val="2"/>
      <scheme val="minor"/>
    </font>
    <font>
      <sz val="14"/>
      <color theme="1"/>
      <name val="Aptos Narrow"/>
      <family val="2"/>
    </font>
    <font>
      <b/>
      <sz val="14"/>
      <color theme="0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14"/>
      <color theme="0" tint="-0.34998626667073579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4"/>
      <color rgb="FF3F3F3F"/>
      <name val="等线"/>
      <family val="2"/>
      <scheme val="minor"/>
    </font>
    <font>
      <sz val="14"/>
      <color rgb="FF3F3F76"/>
      <name val="等线"/>
      <family val="2"/>
      <scheme val="minor"/>
    </font>
    <font>
      <b/>
      <sz val="14"/>
      <color rgb="FFFA7D00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4"/>
      <color theme="0" tint="-0.499984740745262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176" fontId="3" fillId="0" borderId="0">
      <alignment horizontal="center" vertical="center"/>
    </xf>
    <xf numFmtId="9" fontId="6" fillId="0" borderId="0" applyFont="0" applyFill="0" applyBorder="0" applyAlignment="0" applyProtection="0"/>
    <xf numFmtId="0" fontId="7" fillId="3" borderId="3" applyNumberFormat="0" applyAlignment="0" applyProtection="0"/>
    <xf numFmtId="43" fontId="6" fillId="0" borderId="0" applyFont="0" applyFill="0" applyBorder="0" applyAlignment="0" applyProtection="0"/>
    <xf numFmtId="0" fontId="8" fillId="4" borderId="4" applyNumberFormat="0" applyAlignment="0" applyProtection="0"/>
    <xf numFmtId="0" fontId="9" fillId="3" borderId="4" applyNumberFormat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5" fillId="0" borderId="0" xfId="0" applyFont="1"/>
    <xf numFmtId="177" fontId="0" fillId="0" borderId="0" xfId="0" applyNumberFormat="1"/>
    <xf numFmtId="177" fontId="5" fillId="0" borderId="0" xfId="0" applyNumberFormat="1" applyFont="1"/>
    <xf numFmtId="0" fontId="5" fillId="0" borderId="0" xfId="0" applyFont="1" applyAlignment="1">
      <alignment horizontal="right"/>
    </xf>
    <xf numFmtId="178" fontId="0" fillId="0" borderId="0" xfId="0" applyNumberFormat="1"/>
    <xf numFmtId="2" fontId="0" fillId="0" borderId="0" xfId="0" applyNumberFormat="1"/>
    <xf numFmtId="177" fontId="7" fillId="3" borderId="3" xfId="4" applyNumberFormat="1"/>
    <xf numFmtId="0" fontId="0" fillId="0" borderId="0" xfId="0" applyAlignment="1">
      <alignment horizontal="center"/>
    </xf>
    <xf numFmtId="0" fontId="10" fillId="0" borderId="0" xfId="0" applyFont="1"/>
    <xf numFmtId="179" fontId="0" fillId="0" borderId="0" xfId="3" applyNumberFormat="1" applyFont="1" applyAlignment="1">
      <alignment horizontal="center"/>
    </xf>
    <xf numFmtId="180" fontId="11" fillId="0" borderId="0" xfId="5" applyNumberFormat="1" applyFont="1"/>
    <xf numFmtId="0" fontId="8" fillId="4" borderId="4" xfId="6"/>
    <xf numFmtId="0" fontId="9" fillId="3" borderId="4" xfId="7"/>
    <xf numFmtId="0" fontId="1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79" fontId="0" fillId="0" borderId="0" xfId="0" applyNumberFormat="1"/>
    <xf numFmtId="0" fontId="15" fillId="0" borderId="0" xfId="0" applyFont="1" applyAlignment="1">
      <alignment horizontal="center" vertical="center" wrapText="1"/>
    </xf>
  </cellXfs>
  <cellStyles count="8">
    <cellStyle name="Calculation" xfId="7" builtinId="22"/>
    <cellStyle name="Check Cell" xfId="1" builtinId="23"/>
    <cellStyle name="Comma" xfId="5" builtinId="3"/>
    <cellStyle name="Handle" xfId="2" xr:uid="{FF7A162F-DF08-42FE-AEB2-120BB5405C33}"/>
    <cellStyle name="Input" xfId="6" builtinId="20"/>
    <cellStyle name="Normal" xfId="0" builtinId="0"/>
    <cellStyle name="Output" xfId="4" builtinId="21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Accuracy!$E$1</c:f>
              <c:strCache>
                <c:ptCount val="1"/>
                <c:pt idx="0">
                  <c:v>log_acc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Accuracy!$D$2:$D$11</c:f>
              <c:numCache>
                <c:formatCode>General</c:formatCode>
                <c:ptCount val="10"/>
                <c:pt idx="0">
                  <c:v>-3</c:v>
                </c:pt>
                <c:pt idx="1">
                  <c:v>-2.6989700043360187</c:v>
                </c:pt>
                <c:pt idx="2">
                  <c:v>-2.5228787452803374</c:v>
                </c:pt>
                <c:pt idx="3">
                  <c:v>-2.3979400086720375</c:v>
                </c:pt>
                <c:pt idx="4">
                  <c:v>-2.3010299956639813</c:v>
                </c:pt>
                <c:pt idx="5">
                  <c:v>-2.2218487496163561</c:v>
                </c:pt>
                <c:pt idx="6">
                  <c:v>-2.1549019599857431</c:v>
                </c:pt>
                <c:pt idx="7">
                  <c:v>-2.0969100130080562</c:v>
                </c:pt>
                <c:pt idx="8">
                  <c:v>-2.0457574905606752</c:v>
                </c:pt>
                <c:pt idx="9">
                  <c:v>-2</c:v>
                </c:pt>
              </c:numCache>
            </c:numRef>
          </c:xVal>
          <c:yVal>
            <c:numRef>
              <c:f>Accuracy!$E$2:$E$11</c:f>
              <c:numCache>
                <c:formatCode>General</c:formatCode>
                <c:ptCount val="10"/>
                <c:pt idx="0">
                  <c:v>-1.2518119729937995</c:v>
                </c:pt>
                <c:pt idx="1">
                  <c:v>-1.1079053973095196</c:v>
                </c:pt>
                <c:pt idx="2">
                  <c:v>-1.0177287669604316</c:v>
                </c:pt>
                <c:pt idx="3">
                  <c:v>-0.96657624451305035</c:v>
                </c:pt>
                <c:pt idx="4">
                  <c:v>-0.92081875395237522</c:v>
                </c:pt>
                <c:pt idx="5">
                  <c:v>-0.87942606879415008</c:v>
                </c:pt>
                <c:pt idx="6">
                  <c:v>-0.84163750790475034</c:v>
                </c:pt>
                <c:pt idx="7">
                  <c:v>-0.81815641205522749</c:v>
                </c:pt>
                <c:pt idx="8">
                  <c:v>-0.78515615195230215</c:v>
                </c:pt>
                <c:pt idx="9">
                  <c:v>-0.769551078621726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3-4FF2-AF76-D14D1052C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750256"/>
        <c:axId val="1199753888"/>
      </c:scatterChart>
      <c:valAx>
        <c:axId val="119975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753888"/>
        <c:crosses val="autoZero"/>
        <c:crossBetween val="midCat"/>
      </c:valAx>
      <c:valAx>
        <c:axId val="11997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75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 (2)'!$E$1</c:f>
              <c:strCache>
                <c:ptCount val="1"/>
                <c:pt idx="0">
                  <c:v>log_acc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 (2)'!$D$2:$D$11</c:f>
              <c:numCache>
                <c:formatCode>General</c:formatCode>
                <c:ptCount val="10"/>
                <c:pt idx="0">
                  <c:v>-3</c:v>
                </c:pt>
                <c:pt idx="1">
                  <c:v>-2.6989700043360187</c:v>
                </c:pt>
                <c:pt idx="2">
                  <c:v>-2.5228787452803374</c:v>
                </c:pt>
                <c:pt idx="3">
                  <c:v>-2.3979400086720375</c:v>
                </c:pt>
                <c:pt idx="4">
                  <c:v>-2.3010299956639813</c:v>
                </c:pt>
                <c:pt idx="5">
                  <c:v>-2.2218487496163561</c:v>
                </c:pt>
                <c:pt idx="6">
                  <c:v>-2.1549019599857431</c:v>
                </c:pt>
                <c:pt idx="7">
                  <c:v>-2.0969100130080562</c:v>
                </c:pt>
                <c:pt idx="8">
                  <c:v>-2.0457574905606752</c:v>
                </c:pt>
                <c:pt idx="9">
                  <c:v>-2</c:v>
                </c:pt>
              </c:numCache>
            </c:numRef>
          </c:xVal>
          <c:yVal>
            <c:numRef>
              <c:f>'Accuracy (2)'!$E$2:$E$11</c:f>
              <c:numCache>
                <c:formatCode>General</c:formatCode>
                <c:ptCount val="10"/>
                <c:pt idx="0">
                  <c:v>0.48115587082803513</c:v>
                </c:pt>
                <c:pt idx="1">
                  <c:v>0.48101242095657298</c:v>
                </c:pt>
                <c:pt idx="2">
                  <c:v>0.46775605124403291</c:v>
                </c:pt>
                <c:pt idx="3">
                  <c:v>0.48144262850230496</c:v>
                </c:pt>
                <c:pt idx="4">
                  <c:v>0.47143840738929915</c:v>
                </c:pt>
                <c:pt idx="5">
                  <c:v>0.47026344696507844</c:v>
                </c:pt>
                <c:pt idx="6">
                  <c:v>0.47099816966087366</c:v>
                </c:pt>
                <c:pt idx="7">
                  <c:v>0.47041049097593074</c:v>
                </c:pt>
                <c:pt idx="8">
                  <c:v>0.46996920949995952</c:v>
                </c:pt>
                <c:pt idx="9">
                  <c:v>0.47173165148005108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4-4395-B145-534DCE32E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750256"/>
        <c:axId val="1199753888"/>
      </c:scatterChart>
      <c:valAx>
        <c:axId val="119975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753888"/>
        <c:crosses val="autoZero"/>
        <c:crossBetween val="midCat"/>
      </c:valAx>
      <c:valAx>
        <c:axId val="11997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75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13</xdr:row>
      <xdr:rowOff>63500</xdr:rowOff>
    </xdr:from>
    <xdr:to>
      <xdr:col>8</xdr:col>
      <xdr:colOff>514350</xdr:colOff>
      <xdr:row>25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E92007-CD54-9FB0-541E-33DE54027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13</xdr:row>
      <xdr:rowOff>63500</xdr:rowOff>
    </xdr:from>
    <xdr:to>
      <xdr:col>8</xdr:col>
      <xdr:colOff>514350</xdr:colOff>
      <xdr:row>25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81BE1-A86F-49CD-99F6-F78DD1B78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DB-807E-4762-83AC-A616811C3245}">
  <dimension ref="B2:L6"/>
  <sheetViews>
    <sheetView workbookViewId="0"/>
  </sheetViews>
  <sheetFormatPr defaultRowHeight="17.5" x14ac:dyDescent="0.35"/>
  <cols>
    <col min="1" max="1" width="3.59765625" customWidth="1"/>
  </cols>
  <sheetData>
    <row r="2" spans="2:12" ht="18.5" x14ac:dyDescent="0.45">
      <c r="C2" s="20" t="s">
        <v>0</v>
      </c>
      <c r="D2" s="20"/>
      <c r="E2" s="21" t="s">
        <v>10</v>
      </c>
      <c r="F2" s="21"/>
      <c r="G2" s="21" t="s">
        <v>13</v>
      </c>
      <c r="H2" s="21"/>
      <c r="I2" s="1" t="s">
        <v>11</v>
      </c>
      <c r="J2" s="2" t="s">
        <v>12</v>
      </c>
    </row>
    <row r="3" spans="2:12" x14ac:dyDescent="0.3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2:12" ht="18" thickBot="1" x14ac:dyDescent="0.4">
      <c r="B4">
        <v>0</v>
      </c>
      <c r="C4">
        <v>1</v>
      </c>
      <c r="D4">
        <f ca="1">RAND()</f>
        <v>0.98292029199224473</v>
      </c>
      <c r="E4">
        <f ca="1">-F4*D4</f>
        <v>-2.9487608759767343</v>
      </c>
      <c r="F4" s="17">
        <v>3</v>
      </c>
      <c r="G4">
        <f ca="1">E4</f>
        <v>-2.9487608759767343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8.5" thickTop="1" thickBot="1" x14ac:dyDescent="0.4">
      <c r="B5">
        <v>1</v>
      </c>
      <c r="C5">
        <v>1</v>
      </c>
      <c r="D5">
        <f ca="1">RAND()</f>
        <v>0.46162239912273983</v>
      </c>
      <c r="E5">
        <f ca="1">-E4</f>
        <v>2.9487608759767343</v>
      </c>
      <c r="F5" s="18">
        <f>-F4</f>
        <v>-3</v>
      </c>
      <c r="G5" cm="1">
        <f t="array" aca="1" ref="G5:H5" ca="1">G4:H4+E5:F5</f>
        <v>0</v>
      </c>
      <c r="H5">
        <f ca="1"/>
        <v>0</v>
      </c>
      <c r="I5">
        <f ca="1">SUMPRODUCT(G5:H5,C5:D5)</f>
        <v>0</v>
      </c>
      <c r="J5">
        <f ca="1">-SUMPRODUCT(E5:F5,C5:D5)</f>
        <v>-1.5638936786085149</v>
      </c>
      <c r="K5">
        <f ca="1">F4*(D5-D4)</f>
        <v>-1.5638936786085147</v>
      </c>
      <c r="L5" s="5">
        <f ca="1">J5-K5</f>
        <v>0</v>
      </c>
    </row>
    <row r="6" spans="2:12" ht="18" thickTop="1" x14ac:dyDescent="0.35"/>
  </sheetData>
  <mergeCells count="3">
    <mergeCell ref="C2:D2"/>
    <mergeCell ref="E2:F2"/>
    <mergeCell ref="G2:H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2DD-292F-41DF-A786-89DEB5029ACA}">
  <dimension ref="B1:P208"/>
  <sheetViews>
    <sheetView zoomScale="80" zoomScaleNormal="80" workbookViewId="0">
      <selection activeCell="H6" sqref="H6"/>
    </sheetView>
  </sheetViews>
  <sheetFormatPr defaultRowHeight="17.5" x14ac:dyDescent="0.35"/>
  <cols>
    <col min="1" max="1" width="3.59765625" customWidth="1"/>
    <col min="2" max="2" width="9.86328125" bestFit="1" customWidth="1"/>
    <col min="7" max="7" width="11.6640625" bestFit="1" customWidth="1"/>
    <col min="10" max="10" width="10.19921875" bestFit="1" customWidth="1"/>
    <col min="13" max="13" width="11.6640625" bestFit="1" customWidth="1"/>
  </cols>
  <sheetData>
    <row r="1" spans="2:16" x14ac:dyDescent="0.35">
      <c r="B1" s="16" cm="1">
        <f t="array" aca="1" ref="B1" ca="1">_xll.MONTE.COUNT()</f>
        <v>6410</v>
      </c>
    </row>
    <row r="2" spans="2:16" x14ac:dyDescent="0.35">
      <c r="B2" s="3" t="s">
        <v>15</v>
      </c>
      <c r="C2">
        <v>0</v>
      </c>
      <c r="F2" s="3" t="s">
        <v>20</v>
      </c>
      <c r="G2" s="7" cm="1">
        <f t="array" ref="G2">_xll.OPTION.BLACK.PUT(f, sigma*SQRT(t), k)</f>
        <v>3.987761167674492</v>
      </c>
      <c r="I2" s="8" cm="1">
        <f t="array" ref="I2">_xll.OPTION.BLACK.PUT_DELTA(f, sigma*SQRT(t), k)</f>
        <v>-0.48006119416162751</v>
      </c>
      <c r="J2" s="8" cm="1">
        <f t="array" ref="J2">_xll.OPTION.BLACK.PUT(f+0.01, sigma*SQRT(t), k)</f>
        <v>3.9829625478526722</v>
      </c>
      <c r="K2" s="8" cm="1">
        <f t="array" ref="K2">_xll.OPTION.BLACK.PUT(f-0.01, sigma*SQRT(t), k)</f>
        <v>3.9925637719351386</v>
      </c>
      <c r="L2" s="8">
        <f>(J2-K2)/0.02</f>
        <v>-0.48006120412331654</v>
      </c>
      <c r="M2" s="9">
        <f>I2-L2</f>
        <v>9.9616890292253402E-9</v>
      </c>
    </row>
    <row r="3" spans="2:16" x14ac:dyDescent="0.35">
      <c r="B3" s="3" t="s">
        <v>16</v>
      </c>
      <c r="C3">
        <v>100</v>
      </c>
      <c r="F3" s="3" t="s">
        <v>28</v>
      </c>
      <c r="G3" s="7" cm="1">
        <f t="array" aca="1" ref="G3" ca="1">_xlfn.TAKE(S_,-1)</f>
        <v>122.55142513229708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</row>
    <row r="4" spans="2:16" x14ac:dyDescent="0.35">
      <c r="B4" s="3" t="s">
        <v>14</v>
      </c>
      <c r="C4">
        <v>0.2</v>
      </c>
      <c r="F4" s="3" t="s">
        <v>24</v>
      </c>
      <c r="G4" s="10">
        <f ca="1">MAX(k - last,0)</f>
        <v>0</v>
      </c>
      <c r="H4" s="10">
        <f t="array" aca="1" ref="H4:I4" ca="1">_xll.MONTE.STDEV(G4)</f>
        <v>4.0004853413920829</v>
      </c>
      <c r="I4" s="10">
        <f ca="1"/>
        <v>5.5374606097622401</v>
      </c>
      <c r="M4">
        <v>1E-3</v>
      </c>
      <c r="N4" s="6">
        <v>2</v>
      </c>
      <c r="O4" s="6">
        <v>1</v>
      </c>
      <c r="P4" s="6">
        <v>2</v>
      </c>
    </row>
    <row r="5" spans="2:16" x14ac:dyDescent="0.35">
      <c r="B5" s="3" t="s">
        <v>1</v>
      </c>
      <c r="C5">
        <v>0.25</v>
      </c>
      <c r="F5" s="3" t="s">
        <v>25</v>
      </c>
      <c r="G5" s="10" cm="1">
        <f t="array" aca="1" ref="G5" ca="1">_xlfn.TAKE(A,-1)</f>
        <v>-0.17304822869038591</v>
      </c>
      <c r="H5" s="10"/>
      <c r="I5" s="10"/>
      <c r="M5">
        <v>0.01</v>
      </c>
      <c r="N5" s="6">
        <v>3</v>
      </c>
      <c r="O5" s="6">
        <v>1</v>
      </c>
      <c r="P5" s="6">
        <v>3</v>
      </c>
    </row>
    <row r="6" spans="2:16" x14ac:dyDescent="0.35">
      <c r="B6" s="3" t="s">
        <v>21</v>
      </c>
      <c r="C6">
        <f>0.01</f>
        <v>0.01</v>
      </c>
      <c r="F6" s="3" t="s">
        <v>29</v>
      </c>
      <c r="G6" s="10">
        <f ca="1">payoff-hedge</f>
        <v>0.17304822869038591</v>
      </c>
      <c r="H6" s="7">
        <f t="array" aca="1" ref="H6:I6" ca="1">_xll.MONTE.STDEV(error)</f>
        <v>1.8526212733152082E-3</v>
      </c>
      <c r="I6" s="12">
        <f ca="1"/>
        <v>0.67741853143451092</v>
      </c>
      <c r="J6" s="15">
        <f ca="1">I6/put</f>
        <v>0.16987439892985245</v>
      </c>
      <c r="K6" s="14" t="s">
        <v>30</v>
      </c>
      <c r="M6">
        <v>0.1</v>
      </c>
    </row>
    <row r="7" spans="2:16" x14ac:dyDescent="0.35">
      <c r="B7" s="3" t="s">
        <v>17</v>
      </c>
      <c r="C7">
        <v>100</v>
      </c>
    </row>
    <row r="8" spans="2:16" ht="18.5" x14ac:dyDescent="0.45">
      <c r="D8" s="22" t="s">
        <v>0</v>
      </c>
      <c r="E8" s="22"/>
      <c r="F8" s="23" t="s">
        <v>10</v>
      </c>
      <c r="G8" s="23"/>
      <c r="H8" s="23" t="s">
        <v>13</v>
      </c>
      <c r="I8" s="23"/>
      <c r="J8" s="1" t="s">
        <v>11</v>
      </c>
      <c r="K8" s="2" t="s">
        <v>12</v>
      </c>
    </row>
    <row r="9" spans="2:16" x14ac:dyDescent="0.35">
      <c r="B9" s="4" t="s">
        <v>22</v>
      </c>
      <c r="C9" s="4" t="s">
        <v>23</v>
      </c>
      <c r="D9" s="4" t="s">
        <v>18</v>
      </c>
      <c r="E9" s="4" t="s">
        <v>19</v>
      </c>
      <c r="F9" s="4" t="s">
        <v>4</v>
      </c>
      <c r="G9" s="4" t="s">
        <v>5</v>
      </c>
      <c r="H9" s="4" t="s">
        <v>26</v>
      </c>
      <c r="I9" s="4" t="s">
        <v>27</v>
      </c>
      <c r="J9" s="4" t="s">
        <v>8</v>
      </c>
      <c r="K9" s="4" t="s">
        <v>9</v>
      </c>
      <c r="L9" s="13" t="s">
        <v>31</v>
      </c>
    </row>
    <row r="10" spans="2:16" x14ac:dyDescent="0.35">
      <c r="B10" cm="1">
        <f t="array" ref="B10:B35">_xll.ARRAY.SEQUENCE(0, t, dt)</f>
        <v>0</v>
      </c>
      <c r="C10" cm="1">
        <f t="array" aca="1" ref="C10:C35" ca="1">_xll.RANDOM.BROWNIAN(t_)</f>
        <v>0</v>
      </c>
      <c r="D10" cm="1">
        <f t="array" aca="1" ref="D10:D35" ca="1">1+0*B_</f>
        <v>1</v>
      </c>
      <c r="E10" cm="1">
        <f t="array" aca="1" ref="E10:E35" ca="1">f*EXP(sigma*B_+(mu-sigma*sigma/2)*t_)</f>
        <v>100</v>
      </c>
      <c r="F10" s="10" cm="1">
        <f t="array" aca="1" ref="F10:F35" ca="1">co(put*(t_ = 0) - N*S_/R_)</f>
        <v>51.993880583837246</v>
      </c>
      <c r="G10" s="7" cm="1">
        <f t="array" aca="1" ref="G10:G35" ca="1">co(ad(_N))</f>
        <v>-0.48006119416162751</v>
      </c>
      <c r="H10" s="10" cm="1">
        <f t="array" aca="1" ref="H10:H35" ca="1">_xlfn.SCAN(0,M,_xlfn.LAMBDA(_xlpm.a,_xlpm.b,_xlpm.a+_xlpm.b))</f>
        <v>51.993880583837246</v>
      </c>
      <c r="I10" s="7" cm="1">
        <f t="array" aca="1" ref="I10:I35" ca="1">_xlfn.VSTACK(_xlfn.DROP(_xlfn.MAP(t_,S_,_xlfn.LAMBDA(_xlpm._t,_xlpm._S,_xll.OPTION.BLACK.PUT_DELTA(_xlpm._S,sigma*SQRT(t - _xlpm._t),k))),-1),0)</f>
        <v>-0.48006119416162751</v>
      </c>
      <c r="J10" s="7" cm="1">
        <f t="array" aca="1" ref="J10:J35" ca="1">_M * R_ + _N * S_</f>
        <v>3.987761167674492</v>
      </c>
      <c r="K10" cm="1">
        <f t="array" aca="1" ref="K10:K35" ca="1">-M * R_ - N * S_</f>
        <v>-3.987761167674492</v>
      </c>
      <c r="L10" cm="1">
        <f t="array" aca="1" ref="L10:L35" ca="1">_xlfn.MAP(S_,_xlfn.LAMBDA(_xlpm.s,MAX(k-_xlpm.s,0)))</f>
        <v>0</v>
      </c>
      <c r="M10" s="19">
        <f ca="1">put - G10*E10</f>
        <v>51.993880583837246</v>
      </c>
      <c r="N10" s="19">
        <f ca="1">F10-M10</f>
        <v>0</v>
      </c>
    </row>
    <row r="11" spans="2:16" x14ac:dyDescent="0.35">
      <c r="B11">
        <v>0.01</v>
      </c>
      <c r="C11">
        <f ca="1"/>
        <v>0.10759533522744205</v>
      </c>
      <c r="D11">
        <f ca="1"/>
        <v>1</v>
      </c>
      <c r="E11" s="11">
        <f ca="1"/>
        <v>102.15479419279936</v>
      </c>
      <c r="F11" s="10">
        <f ca="1"/>
        <v>-8.699871207306451</v>
      </c>
      <c r="G11" s="7">
        <f ca="1"/>
        <v>8.5163611517702853E-2</v>
      </c>
      <c r="H11" s="10">
        <f ca="1"/>
        <v>43.294009376530795</v>
      </c>
      <c r="I11" s="7">
        <f ca="1"/>
        <v>-0.39489758264392466</v>
      </c>
      <c r="J11" s="7">
        <f ca="1"/>
        <v>2.9533280943066984</v>
      </c>
      <c r="K11">
        <f ca="1"/>
        <v>0</v>
      </c>
      <c r="L11">
        <f ca="1"/>
        <v>0</v>
      </c>
      <c r="M11" s="19">
        <f ca="1" xml:space="preserve"> - G11*E11</f>
        <v>-8.699871207306451</v>
      </c>
      <c r="N11" s="19">
        <f ca="1">F11-M11</f>
        <v>0</v>
      </c>
    </row>
    <row r="12" spans="2:16" x14ac:dyDescent="0.35">
      <c r="B12">
        <v>0.02</v>
      </c>
      <c r="C12">
        <f ca="1"/>
        <v>0.2642908597042597</v>
      </c>
      <c r="D12">
        <f ca="1"/>
        <v>1</v>
      </c>
      <c r="E12" s="11">
        <f ca="1"/>
        <v>105.38584803017686</v>
      </c>
      <c r="F12" s="10">
        <f ca="1"/>
        <v>-12.533881813911091</v>
      </c>
      <c r="G12" s="7">
        <f ca="1"/>
        <v>0.11893325383045794</v>
      </c>
      <c r="H12" s="10">
        <f ca="1"/>
        <v>30.760127562619704</v>
      </c>
      <c r="I12" s="7">
        <f ca="1"/>
        <v>-0.27596432881346672</v>
      </c>
      <c r="J12" s="7">
        <f ca="1"/>
        <v>1.6773927445339432</v>
      </c>
      <c r="K12">
        <f ca="1"/>
        <v>0</v>
      </c>
      <c r="L12">
        <f ca="1"/>
        <v>0</v>
      </c>
    </row>
    <row r="13" spans="2:16" x14ac:dyDescent="0.35">
      <c r="B13">
        <v>0.03</v>
      </c>
      <c r="C13">
        <f ca="1"/>
        <v>0.30850003143766097</v>
      </c>
      <c r="D13">
        <f ca="1"/>
        <v>1</v>
      </c>
      <c r="E13" s="11">
        <f ca="1"/>
        <v>106.30052160769652</v>
      </c>
      <c r="F13" s="10">
        <f ca="1"/>
        <v>-3.5555822939980191</v>
      </c>
      <c r="G13" s="7">
        <f ca="1"/>
        <v>3.3448399313786459E-2</v>
      </c>
      <c r="H13" s="10">
        <f ca="1"/>
        <v>27.204545268621686</v>
      </c>
      <c r="I13" s="7">
        <f ca="1"/>
        <v>-0.24251592949968026</v>
      </c>
      <c r="J13" s="7">
        <f ca="1"/>
        <v>1.4249754646303181</v>
      </c>
      <c r="K13">
        <f ca="1"/>
        <v>0</v>
      </c>
      <c r="L13">
        <f ca="1"/>
        <v>0</v>
      </c>
    </row>
    <row r="14" spans="2:16" x14ac:dyDescent="0.35">
      <c r="B14">
        <v>0.04</v>
      </c>
      <c r="C14">
        <f ca="1"/>
        <v>0.29381994672200307</v>
      </c>
      <c r="D14">
        <f ca="1"/>
        <v>1</v>
      </c>
      <c r="E14" s="11">
        <f ca="1"/>
        <v>105.96768353656371</v>
      </c>
      <c r="F14" s="10">
        <f ca="1"/>
        <v>0.66611275835874695</v>
      </c>
      <c r="G14" s="7">
        <f ca="1"/>
        <v>-6.2859990529934295E-3</v>
      </c>
      <c r="H14" s="10">
        <f ca="1"/>
        <v>27.870658026980433</v>
      </c>
      <c r="I14" s="7">
        <f ca="1"/>
        <v>-0.24880192855267369</v>
      </c>
      <c r="J14" s="7">
        <f ca="1"/>
        <v>1.5056939988239719</v>
      </c>
      <c r="K14">
        <f ca="1"/>
        <v>0</v>
      </c>
      <c r="L14">
        <f ca="1"/>
        <v>0</v>
      </c>
      <c r="M14" s="19">
        <f ca="1">f*EXP(sigma*C14-sigma^2*B14/2)</f>
        <v>105.96768353656371</v>
      </c>
      <c r="N14" s="19">
        <f ca="1">E14-M14</f>
        <v>0</v>
      </c>
    </row>
    <row r="15" spans="2:16" x14ac:dyDescent="0.35">
      <c r="B15">
        <v>0.05</v>
      </c>
      <c r="C15">
        <f ca="1"/>
        <v>0.30905445941106929</v>
      </c>
      <c r="D15">
        <f ca="1"/>
        <v>1</v>
      </c>
      <c r="E15" s="11">
        <f ca="1"/>
        <v>106.26979303785701</v>
      </c>
      <c r="F15" s="10">
        <f ca="1"/>
        <v>-1.5361927967601698</v>
      </c>
      <c r="G15" s="7">
        <f ca="1"/>
        <v>1.445559225106352E-2</v>
      </c>
      <c r="H15" s="10">
        <f ca="1"/>
        <v>26.334465230220264</v>
      </c>
      <c r="I15" s="7">
        <f ca="1"/>
        <v>-0.23434633630161017</v>
      </c>
      <c r="J15" s="7">
        <f ca="1"/>
        <v>1.4305285722681127</v>
      </c>
      <c r="K15">
        <f ca="1"/>
        <v>0</v>
      </c>
      <c r="L15">
        <f ca="1"/>
        <v>0</v>
      </c>
    </row>
    <row r="16" spans="2:16" x14ac:dyDescent="0.35">
      <c r="B16">
        <v>0.06</v>
      </c>
      <c r="C16">
        <f ca="1"/>
        <v>0.49602410264897023</v>
      </c>
      <c r="D16">
        <f ca="1"/>
        <v>1</v>
      </c>
      <c r="E16" s="11">
        <f ca="1"/>
        <v>110.29681019862903</v>
      </c>
      <c r="F16" s="10">
        <f ca="1"/>
        <v>-12.452383701836299</v>
      </c>
      <c r="G16" s="7">
        <f ca="1"/>
        <v>0.11289885609031947</v>
      </c>
      <c r="H16" s="10">
        <f ca="1"/>
        <v>13.882081528383965</v>
      </c>
      <c r="I16" s="7">
        <f ca="1"/>
        <v>-0.1214474802112907</v>
      </c>
      <c r="J16" s="7">
        <f ca="1"/>
        <v>0.48681185441747843</v>
      </c>
      <c r="K16">
        <f ca="1"/>
        <v>0</v>
      </c>
      <c r="L16">
        <f ca="1"/>
        <v>0</v>
      </c>
      <c r="M16" s="19" cm="1">
        <f t="array" aca="1" ref="M16" ca="1">_xll.OPTION.BLACK.PUT_DELTA(E16,sigma*SQRT(t - B16),k)</f>
        <v>-0.1214474802112907</v>
      </c>
      <c r="N16" s="19">
        <f ca="1">I16-M16</f>
        <v>0</v>
      </c>
    </row>
    <row r="17" spans="2:16" x14ac:dyDescent="0.35">
      <c r="B17">
        <v>7.0000000000000007E-2</v>
      </c>
      <c r="C17">
        <f ca="1"/>
        <v>0.46928363645353677</v>
      </c>
      <c r="D17">
        <f ca="1"/>
        <v>1</v>
      </c>
      <c r="E17" s="11">
        <f ca="1"/>
        <v>109.68656761837951</v>
      </c>
      <c r="F17" s="10">
        <f ca="1"/>
        <v>0.80745301332661845</v>
      </c>
      <c r="G17" s="7">
        <f ca="1"/>
        <v>-7.3614575682220407E-3</v>
      </c>
      <c r="H17" s="10">
        <f ca="1"/>
        <v>14.689534541710584</v>
      </c>
      <c r="I17" s="7">
        <f ca="1"/>
        <v>-0.12880893777951274</v>
      </c>
      <c r="J17" s="7">
        <f ca="1"/>
        <v>0.56092427810641965</v>
      </c>
      <c r="K17">
        <f ca="1"/>
        <v>0</v>
      </c>
      <c r="L17">
        <f ca="1"/>
        <v>0</v>
      </c>
    </row>
    <row r="18" spans="2:16" x14ac:dyDescent="0.35">
      <c r="B18">
        <v>0.08</v>
      </c>
      <c r="C18">
        <f ca="1"/>
        <v>0.38863989166752211</v>
      </c>
      <c r="D18">
        <f ca="1"/>
        <v>1</v>
      </c>
      <c r="E18" s="11">
        <f ca="1"/>
        <v>107.91006668256844</v>
      </c>
      <c r="F18" s="10">
        <f ca="1"/>
        <v>4.1663174105875358</v>
      </c>
      <c r="G18" s="7">
        <f ca="1"/>
        <v>-3.8609163525431811E-2</v>
      </c>
      <c r="H18" s="10">
        <f ca="1"/>
        <v>18.855851952298121</v>
      </c>
      <c r="I18" s="7">
        <f ca="1"/>
        <v>-0.16741810130494456</v>
      </c>
      <c r="J18" s="7">
        <f ca="1"/>
        <v>0.78975347661255668</v>
      </c>
      <c r="K18">
        <f ca="1"/>
        <v>0</v>
      </c>
      <c r="L18">
        <f ca="1"/>
        <v>0</v>
      </c>
    </row>
    <row r="19" spans="2:16" x14ac:dyDescent="0.35">
      <c r="B19">
        <v>0.09</v>
      </c>
      <c r="C19">
        <f ca="1"/>
        <v>0.41399812609409209</v>
      </c>
      <c r="D19">
        <f ca="1"/>
        <v>1</v>
      </c>
      <c r="E19" s="11">
        <f ca="1"/>
        <v>108.43704901650307</v>
      </c>
      <c r="F19" s="10">
        <f ca="1"/>
        <v>-2.2914832533032041</v>
      </c>
      <c r="G19" s="7">
        <f ca="1"/>
        <v>2.1131921922316999E-2</v>
      </c>
      <c r="H19" s="10">
        <f ca="1"/>
        <v>16.564368698994915</v>
      </c>
      <c r="I19" s="7">
        <f ca="1"/>
        <v>-0.14628617938262756</v>
      </c>
      <c r="J19" s="7">
        <f ca="1"/>
        <v>0.70152709484396958</v>
      </c>
      <c r="K19">
        <f ca="1"/>
        <v>0</v>
      </c>
      <c r="L19">
        <f ca="1"/>
        <v>0</v>
      </c>
    </row>
    <row r="20" spans="2:16" x14ac:dyDescent="0.35">
      <c r="B20">
        <v>0.1</v>
      </c>
      <c r="C20">
        <f ca="1"/>
        <v>0.61346181852187598</v>
      </c>
      <c r="D20">
        <f ca="1"/>
        <v>1</v>
      </c>
      <c r="E20" s="11">
        <f ca="1"/>
        <v>112.8277759781259</v>
      </c>
      <c r="F20" s="10">
        <f ca="1"/>
        <v>-10.282885789740922</v>
      </c>
      <c r="G20" s="7">
        <f ca="1"/>
        <v>9.1137893134882686E-2</v>
      </c>
      <c r="H20" s="10">
        <f ca="1"/>
        <v>6.2814829092539934</v>
      </c>
      <c r="I20" s="7">
        <f ca="1"/>
        <v>-5.5148286247744871E-2</v>
      </c>
      <c r="J20" s="7">
        <f ca="1"/>
        <v>5.9224422915873376E-2</v>
      </c>
      <c r="K20">
        <f ca="1"/>
        <v>0</v>
      </c>
      <c r="L20">
        <f ca="1"/>
        <v>0</v>
      </c>
      <c r="M20" s="6">
        <f t="array" aca="1" ref="M20:M21" ca="1">_xll.MONTE.STDEV(C20)</f>
        <v>-9.5427937232895454E-3</v>
      </c>
      <c r="N20" s="6">
        <v>0</v>
      </c>
      <c r="O20" s="6">
        <f t="array" aca="1" ref="O20:O21" ca="1">_xll.MONTE.STDEV(E20)</f>
        <v>99.807672609746803</v>
      </c>
      <c r="P20" s="6">
        <f>f*EXP(mu*B20)</f>
        <v>100</v>
      </c>
    </row>
    <row r="21" spans="2:16" x14ac:dyDescent="0.35">
      <c r="B21">
        <v>0.11</v>
      </c>
      <c r="C21">
        <f ca="1"/>
        <v>0.69044911781848584</v>
      </c>
      <c r="D21">
        <f ca="1"/>
        <v>1</v>
      </c>
      <c r="E21" s="11">
        <f ca="1"/>
        <v>114.55556734000622</v>
      </c>
      <c r="F21" s="10">
        <f ca="1"/>
        <v>-2.6611355692427132</v>
      </c>
      <c r="G21" s="7">
        <f ca="1"/>
        <v>2.3230085023666636E-2</v>
      </c>
      <c r="H21" s="10">
        <f ca="1"/>
        <v>3.6203473400112802</v>
      </c>
      <c r="I21" s="7">
        <f ca="1"/>
        <v>-3.1918201224078235E-2</v>
      </c>
      <c r="J21" s="7">
        <f ca="1"/>
        <v>-3.6060309685483016E-2</v>
      </c>
      <c r="K21">
        <f ca="1"/>
        <v>0</v>
      </c>
      <c r="L21">
        <f ca="1"/>
        <v>0</v>
      </c>
      <c r="M21" s="6">
        <f ca="1"/>
        <v>0.3149463980845375</v>
      </c>
      <c r="N21" s="6">
        <f>SQRT(B20)</f>
        <v>0.31622776601683794</v>
      </c>
      <c r="O21" s="6">
        <f ca="1"/>
        <v>6.2929948654470227</v>
      </c>
      <c r="P21" s="6"/>
    </row>
    <row r="22" spans="2:16" x14ac:dyDescent="0.35">
      <c r="B22">
        <v>0.12</v>
      </c>
      <c r="C22">
        <f ca="1"/>
        <v>0.82379491296500018</v>
      </c>
      <c r="D22">
        <f ca="1"/>
        <v>1</v>
      </c>
      <c r="E22" s="11">
        <f ca="1"/>
        <v>117.62824304541756</v>
      </c>
      <c r="F22" s="10">
        <f ca="1"/>
        <v>-2.451007860832354</v>
      </c>
      <c r="G22" s="7">
        <f ca="1"/>
        <v>2.0836899348109728E-2</v>
      </c>
      <c r="H22" s="10">
        <f ca="1"/>
        <v>1.1693394791789262</v>
      </c>
      <c r="I22" s="7">
        <f ca="1"/>
        <v>-1.1081301875968508E-2</v>
      </c>
      <c r="J22" s="7">
        <f ca="1"/>
        <v>-0.13413459114713899</v>
      </c>
      <c r="K22">
        <f ca="1"/>
        <v>0</v>
      </c>
      <c r="L22">
        <f ca="1"/>
        <v>0</v>
      </c>
    </row>
    <row r="23" spans="2:16" x14ac:dyDescent="0.35">
      <c r="B23">
        <v>0.13</v>
      </c>
      <c r="C23">
        <f ca="1"/>
        <v>0.92086267983567449</v>
      </c>
      <c r="D23">
        <f ca="1"/>
        <v>1</v>
      </c>
      <c r="E23" s="11">
        <f ca="1"/>
        <v>119.91015115431065</v>
      </c>
      <c r="F23" s="10">
        <f ca="1"/>
        <v>-0.85385083305011433</v>
      </c>
      <c r="G23" s="7">
        <f ca="1"/>
        <v>7.1207552057148682E-3</v>
      </c>
      <c r="H23" s="10">
        <f ca="1"/>
        <v>0.31548864612881189</v>
      </c>
      <c r="I23" s="7">
        <f ca="1"/>
        <v>-3.9605466702536396E-3</v>
      </c>
      <c r="J23" s="7">
        <f ca="1"/>
        <v>-0.15942110375500379</v>
      </c>
      <c r="K23">
        <f ca="1"/>
        <v>0</v>
      </c>
      <c r="L23">
        <f ca="1"/>
        <v>0</v>
      </c>
    </row>
    <row r="24" spans="2:16" x14ac:dyDescent="0.35">
      <c r="B24">
        <v>0.14000000000000001</v>
      </c>
      <c r="C24">
        <f ca="1"/>
        <v>1.0694334511492414</v>
      </c>
      <c r="D24">
        <f ca="1"/>
        <v>1</v>
      </c>
      <c r="E24" s="11">
        <f ca="1"/>
        <v>123.50194145377354</v>
      </c>
      <c r="F24" s="10">
        <f ca="1"/>
        <v>-0.40870161439136704</v>
      </c>
      <c r="G24" s="7">
        <f ca="1"/>
        <v>3.3092727902123142E-3</v>
      </c>
      <c r="H24" s="10">
        <f ca="1"/>
        <v>-9.3212968262555151E-2</v>
      </c>
      <c r="I24" s="7">
        <f ca="1"/>
        <v>-6.5127388004132536E-4</v>
      </c>
      <c r="J24" s="7">
        <f ca="1"/>
        <v>-0.17364655686579084</v>
      </c>
      <c r="K24">
        <f ca="1"/>
        <v>0</v>
      </c>
      <c r="L24">
        <f ca="1"/>
        <v>0</v>
      </c>
    </row>
    <row r="25" spans="2:16" x14ac:dyDescent="0.35">
      <c r="B25">
        <v>0.15</v>
      </c>
      <c r="C25">
        <f ca="1"/>
        <v>0.94045168628884313</v>
      </c>
      <c r="D25">
        <f ca="1"/>
        <v>1</v>
      </c>
      <c r="E25" s="11">
        <f ca="1"/>
        <v>120.33271404918457</v>
      </c>
      <c r="F25" s="10">
        <f ca="1"/>
        <v>0.1078353815484815</v>
      </c>
      <c r="G25" s="7">
        <f ca="1"/>
        <v>-8.9614351675310067E-4</v>
      </c>
      <c r="H25" s="10">
        <f ca="1"/>
        <v>1.4622413285926353E-2</v>
      </c>
      <c r="I25" s="7">
        <f ca="1"/>
        <v>-1.547417396794426E-3</v>
      </c>
      <c r="J25" s="7">
        <f ca="1"/>
        <v>-0.17158252183727091</v>
      </c>
      <c r="K25">
        <f ca="1"/>
        <v>0</v>
      </c>
      <c r="L25">
        <f ca="1"/>
        <v>0</v>
      </c>
    </row>
    <row r="26" spans="2:16" x14ac:dyDescent="0.35">
      <c r="B26">
        <v>0.16</v>
      </c>
      <c r="C26">
        <f ca="1"/>
        <v>0.9272710122199298</v>
      </c>
      <c r="D26">
        <f ca="1"/>
        <v>1</v>
      </c>
      <c r="E26" s="11">
        <f ca="1"/>
        <v>119.99191775019415</v>
      </c>
      <c r="F26" s="10">
        <f ca="1"/>
        <v>-5.6202174048672622E-2</v>
      </c>
      <c r="G26" s="7">
        <f ca="1"/>
        <v>4.6838299697549157E-4</v>
      </c>
      <c r="H26" s="10">
        <f ca="1"/>
        <v>-4.1579760762746269E-2</v>
      </c>
      <c r="I26" s="7">
        <f ca="1"/>
        <v>-1.0790343998189345E-3</v>
      </c>
      <c r="J26" s="7">
        <f ca="1"/>
        <v>-0.17105516771544996</v>
      </c>
      <c r="K26">
        <f ca="1"/>
        <v>0</v>
      </c>
      <c r="L26">
        <f ca="1"/>
        <v>0</v>
      </c>
    </row>
    <row r="27" spans="2:16" x14ac:dyDescent="0.35">
      <c r="B27">
        <v>0.17</v>
      </c>
      <c r="C27">
        <f ca="1"/>
        <v>0.98891170402421835</v>
      </c>
      <c r="D27">
        <f ca="1"/>
        <v>1</v>
      </c>
      <c r="E27" s="11">
        <f ca="1"/>
        <v>121.45605702585507</v>
      </c>
      <c r="F27" s="10">
        <f ca="1"/>
        <v>-9.8796759098798495E-2</v>
      </c>
      <c r="G27" s="7">
        <f ca="1"/>
        <v>8.1343624614593768E-4</v>
      </c>
      <c r="H27" s="10">
        <f ca="1"/>
        <v>-0.14037651986154476</v>
      </c>
      <c r="I27" s="7">
        <f ca="1"/>
        <v>-2.6559815367299677E-4</v>
      </c>
      <c r="J27" s="7">
        <f ca="1"/>
        <v>-0.17263502436001407</v>
      </c>
      <c r="K27">
        <f ca="1"/>
        <v>0</v>
      </c>
      <c r="L27">
        <f ca="1"/>
        <v>0</v>
      </c>
    </row>
    <row r="28" spans="2:16" x14ac:dyDescent="0.35">
      <c r="B28">
        <v>0.18</v>
      </c>
      <c r="C28">
        <f ca="1"/>
        <v>1.0159385297282433</v>
      </c>
      <c r="D28">
        <f ca="1"/>
        <v>1</v>
      </c>
      <c r="E28" s="11">
        <f ca="1"/>
        <v>122.08992848616677</v>
      </c>
      <c r="F28" s="10">
        <f ca="1"/>
        <v>-2.3533482450037828E-2</v>
      </c>
      <c r="G28" s="7">
        <f ca="1"/>
        <v>1.9275531357776376E-4</v>
      </c>
      <c r="H28" s="10">
        <f ca="1"/>
        <v>-0.16391000231158259</v>
      </c>
      <c r="I28" s="7">
        <f ca="1"/>
        <v>-7.2842840095233008E-5</v>
      </c>
      <c r="J28" s="7">
        <f ca="1"/>
        <v>-0.17280337944953889</v>
      </c>
      <c r="K28">
        <f ca="1"/>
        <v>0</v>
      </c>
      <c r="L28">
        <f ca="1"/>
        <v>0</v>
      </c>
    </row>
    <row r="29" spans="2:16" x14ac:dyDescent="0.35">
      <c r="B29">
        <v>0.19</v>
      </c>
      <c r="C29">
        <f ca="1"/>
        <v>1.1505876939834163</v>
      </c>
      <c r="D29">
        <f ca="1"/>
        <v>1</v>
      </c>
      <c r="E29" s="11">
        <f ca="1"/>
        <v>125.39737873927541</v>
      </c>
      <c r="F29" s="10">
        <f ca="1"/>
        <v>-8.9202315995529149E-3</v>
      </c>
      <c r="G29" s="7">
        <f ca="1"/>
        <v>7.1135710245584516E-5</v>
      </c>
      <c r="H29" s="10">
        <f ca="1"/>
        <v>-0.1728302339111355</v>
      </c>
      <c r="I29" s="7">
        <f ca="1"/>
        <v>-1.7071298496484921E-6</v>
      </c>
      <c r="J29" s="7">
        <f ca="1"/>
        <v>-0.17304430351944899</v>
      </c>
      <c r="K29">
        <f ca="1"/>
        <v>0</v>
      </c>
      <c r="L29">
        <f ca="1"/>
        <v>0</v>
      </c>
    </row>
    <row r="30" spans="2:16" x14ac:dyDescent="0.35">
      <c r="B30">
        <v>0.2</v>
      </c>
      <c r="C30">
        <f ca="1"/>
        <v>1.2408569580650364</v>
      </c>
      <c r="D30">
        <f ca="1"/>
        <v>1</v>
      </c>
      <c r="E30" s="11">
        <f ca="1"/>
        <v>127.65631039504426</v>
      </c>
      <c r="F30" s="10">
        <f ca="1"/>
        <v>-2.1524465986249748E-4</v>
      </c>
      <c r="G30" s="7">
        <f ca="1"/>
        <v>1.6861262807643662E-6</v>
      </c>
      <c r="H30" s="10">
        <f ca="1"/>
        <v>-0.173045478570998</v>
      </c>
      <c r="I30" s="7">
        <f ca="1"/>
        <v>-2.1003568884125912E-8</v>
      </c>
      <c r="J30" s="7">
        <f ca="1"/>
        <v>-0.17304815980910687</v>
      </c>
      <c r="K30">
        <f ca="1"/>
        <v>0</v>
      </c>
      <c r="L30">
        <f ca="1"/>
        <v>0</v>
      </c>
    </row>
    <row r="31" spans="2:16" x14ac:dyDescent="0.35">
      <c r="B31">
        <v>0.21</v>
      </c>
      <c r="C31">
        <f ca="1"/>
        <v>1.3686990437797453</v>
      </c>
      <c r="D31">
        <f ca="1"/>
        <v>1</v>
      </c>
      <c r="E31" s="11">
        <f ca="1"/>
        <v>130.93617552512302</v>
      </c>
      <c r="F31" s="10">
        <f ca="1"/>
        <v>-2.7492141487376619E-6</v>
      </c>
      <c r="G31" s="7">
        <f ca="1"/>
        <v>2.0996597294153929E-8</v>
      </c>
      <c r="H31" s="10">
        <f ca="1"/>
        <v>-0.17304822778514675</v>
      </c>
      <c r="I31" s="7">
        <f ca="1"/>
        <v>-6.9715899719824392E-12</v>
      </c>
      <c r="J31" s="7">
        <f ca="1"/>
        <v>-0.17304822869798009</v>
      </c>
      <c r="K31">
        <f ca="1"/>
        <v>0</v>
      </c>
      <c r="L31">
        <f ca="1"/>
        <v>0</v>
      </c>
    </row>
    <row r="32" spans="2:16" x14ac:dyDescent="0.35">
      <c r="B32">
        <v>0.22</v>
      </c>
      <c r="C32">
        <f ca="1"/>
        <v>1.327952605845887</v>
      </c>
      <c r="D32">
        <f ca="1"/>
        <v>1</v>
      </c>
      <c r="E32" s="11">
        <f ca="1"/>
        <v>129.84750288496022</v>
      </c>
      <c r="F32" s="10">
        <f ca="1"/>
        <v>-9.0256938679861001E-10</v>
      </c>
      <c r="G32" s="7">
        <f ca="1"/>
        <v>6.9509953348756426E-12</v>
      </c>
      <c r="H32" s="10">
        <f ca="1"/>
        <v>-0.17304822868771613</v>
      </c>
      <c r="I32" s="7">
        <f ca="1"/>
        <v>-2.0594637106796654E-14</v>
      </c>
      <c r="J32" s="7">
        <f ca="1"/>
        <v>-0.1730482286903903</v>
      </c>
      <c r="K32">
        <f ca="1"/>
        <v>0</v>
      </c>
      <c r="L32">
        <f ca="1"/>
        <v>0</v>
      </c>
    </row>
    <row r="33" spans="2:12" x14ac:dyDescent="0.35">
      <c r="B33">
        <v>0.23</v>
      </c>
      <c r="C33">
        <f ca="1"/>
        <v>1.3207791031297229</v>
      </c>
      <c r="D33">
        <f ca="1"/>
        <v>1</v>
      </c>
      <c r="E33" s="11">
        <f ca="1"/>
        <v>129.63541449918583</v>
      </c>
      <c r="F33" s="10">
        <f ca="1"/>
        <v>-2.6697943177998974E-12</v>
      </c>
      <c r="G33" s="7">
        <f ca="1"/>
        <v>2.0594637106796654E-14</v>
      </c>
      <c r="H33" s="10">
        <f ca="1"/>
        <v>-0.17304822869038591</v>
      </c>
      <c r="I33" s="7">
        <f ca="1"/>
        <v>0</v>
      </c>
      <c r="J33" s="7">
        <f ca="1"/>
        <v>-0.17304822869038591</v>
      </c>
      <c r="K33">
        <f ca="1"/>
        <v>0</v>
      </c>
      <c r="L33">
        <f ca="1"/>
        <v>0</v>
      </c>
    </row>
    <row r="34" spans="2:12" x14ac:dyDescent="0.35">
      <c r="B34">
        <v>0.24</v>
      </c>
      <c r="C34">
        <f ca="1"/>
        <v>1.2777986892394804</v>
      </c>
      <c r="D34">
        <f ca="1"/>
        <v>1</v>
      </c>
      <c r="E34" s="11">
        <f ca="1"/>
        <v>128.5001310059084</v>
      </c>
      <c r="F34" s="10">
        <f ca="1"/>
        <v>0</v>
      </c>
      <c r="G34" s="7">
        <f ca="1"/>
        <v>0</v>
      </c>
      <c r="H34" s="10">
        <f ca="1"/>
        <v>-0.17304822869038591</v>
      </c>
      <c r="I34" s="7">
        <f ca="1"/>
        <v>0</v>
      </c>
      <c r="J34" s="7">
        <f ca="1"/>
        <v>-0.17304822869038591</v>
      </c>
      <c r="K34">
        <f ca="1"/>
        <v>0</v>
      </c>
      <c r="L34">
        <f ca="1"/>
        <v>0</v>
      </c>
    </row>
    <row r="35" spans="2:12" x14ac:dyDescent="0.35">
      <c r="B35">
        <v>0.25</v>
      </c>
      <c r="C35">
        <f ca="1"/>
        <v>1.0418027645246317</v>
      </c>
      <c r="D35">
        <f ca="1"/>
        <v>1</v>
      </c>
      <c r="E35" s="11">
        <f ca="1"/>
        <v>122.55142513229708</v>
      </c>
      <c r="F35" s="10">
        <f ca="1"/>
        <v>0.17304822869038591</v>
      </c>
      <c r="G35" s="7">
        <f ca="1"/>
        <v>0</v>
      </c>
      <c r="H35" s="10">
        <f ca="1"/>
        <v>0</v>
      </c>
      <c r="I35" s="7">
        <f ca="1"/>
        <v>0</v>
      </c>
      <c r="J35" s="7">
        <f ca="1"/>
        <v>0</v>
      </c>
      <c r="K35">
        <f ca="1"/>
        <v>-0.17304822869038591</v>
      </c>
      <c r="L35">
        <f ca="1"/>
        <v>0</v>
      </c>
    </row>
    <row r="36" spans="2:12" x14ac:dyDescent="0.35">
      <c r="E36" s="11"/>
      <c r="F36" s="10"/>
      <c r="G36" s="7"/>
      <c r="H36" s="10"/>
      <c r="I36" s="7"/>
      <c r="J36" s="7"/>
    </row>
    <row r="37" spans="2:12" x14ac:dyDescent="0.35">
      <c r="E37" s="11"/>
      <c r="F37" s="10"/>
      <c r="G37" s="7"/>
      <c r="H37" s="10"/>
      <c r="I37" s="7"/>
      <c r="J37" s="7"/>
    </row>
    <row r="38" spans="2:12" x14ac:dyDescent="0.35">
      <c r="E38" s="11"/>
      <c r="F38" s="10"/>
      <c r="G38" s="7"/>
      <c r="H38" s="10"/>
      <c r="I38" s="7"/>
      <c r="J38" s="7"/>
    </row>
    <row r="39" spans="2:12" x14ac:dyDescent="0.35">
      <c r="E39" s="11"/>
      <c r="F39" s="10"/>
      <c r="G39" s="7"/>
      <c r="H39" s="10"/>
      <c r="I39" s="7"/>
      <c r="J39" s="7"/>
    </row>
    <row r="40" spans="2:12" x14ac:dyDescent="0.35">
      <c r="E40" s="11"/>
      <c r="F40" s="10"/>
      <c r="G40" s="7"/>
      <c r="H40" s="10"/>
      <c r="I40" s="7"/>
      <c r="J40" s="7"/>
    </row>
    <row r="41" spans="2:12" x14ac:dyDescent="0.35">
      <c r="E41" s="11"/>
      <c r="F41" s="10"/>
      <c r="G41" s="7"/>
      <c r="H41" s="10"/>
      <c r="I41" s="7"/>
      <c r="J41" s="7"/>
    </row>
    <row r="42" spans="2:12" x14ac:dyDescent="0.35">
      <c r="E42" s="11"/>
      <c r="F42" s="10"/>
      <c r="G42" s="7"/>
      <c r="H42" s="10"/>
      <c r="I42" s="7"/>
      <c r="J42" s="7"/>
    </row>
    <row r="43" spans="2:12" x14ac:dyDescent="0.35">
      <c r="E43" s="11"/>
      <c r="F43" s="10"/>
      <c r="G43" s="7"/>
      <c r="H43" s="10"/>
      <c r="I43" s="7"/>
      <c r="J43" s="7"/>
    </row>
    <row r="44" spans="2:12" x14ac:dyDescent="0.35">
      <c r="E44" s="11"/>
      <c r="F44" s="10"/>
      <c r="G44" s="7"/>
      <c r="H44" s="10"/>
      <c r="I44" s="7"/>
      <c r="J44" s="7"/>
    </row>
    <row r="45" spans="2:12" x14ac:dyDescent="0.35">
      <c r="E45" s="11"/>
      <c r="F45" s="10"/>
      <c r="G45" s="7"/>
      <c r="H45" s="10"/>
      <c r="I45" s="7"/>
      <c r="J45" s="7"/>
    </row>
    <row r="46" spans="2:12" x14ac:dyDescent="0.35">
      <c r="E46" s="11"/>
      <c r="F46" s="10"/>
      <c r="G46" s="7"/>
      <c r="H46" s="10"/>
      <c r="I46" s="7"/>
      <c r="J46" s="7"/>
    </row>
    <row r="47" spans="2:12" x14ac:dyDescent="0.35">
      <c r="E47" s="11"/>
      <c r="F47" s="10"/>
      <c r="G47" s="7"/>
      <c r="H47" s="10"/>
      <c r="I47" s="7"/>
      <c r="J47" s="7"/>
    </row>
    <row r="48" spans="2:12" x14ac:dyDescent="0.35">
      <c r="E48" s="11"/>
      <c r="F48" s="10"/>
      <c r="G48" s="7"/>
      <c r="H48" s="10"/>
      <c r="I48" s="7"/>
      <c r="J48" s="7"/>
    </row>
    <row r="49" spans="5:10" x14ac:dyDescent="0.35">
      <c r="E49" s="11"/>
      <c r="F49" s="10"/>
      <c r="G49" s="7"/>
      <c r="H49" s="10"/>
      <c r="I49" s="7"/>
      <c r="J49" s="7"/>
    </row>
    <row r="50" spans="5:10" x14ac:dyDescent="0.35">
      <c r="E50" s="11"/>
      <c r="F50" s="10"/>
      <c r="G50" s="7"/>
      <c r="H50" s="10"/>
      <c r="I50" s="7"/>
      <c r="J50" s="7"/>
    </row>
    <row r="51" spans="5:10" x14ac:dyDescent="0.35">
      <c r="E51" s="11"/>
      <c r="F51" s="10"/>
      <c r="G51" s="7"/>
      <c r="H51" s="10"/>
      <c r="I51" s="7"/>
      <c r="J51" s="7"/>
    </row>
    <row r="52" spans="5:10" x14ac:dyDescent="0.35">
      <c r="E52" s="11"/>
      <c r="F52" s="10"/>
      <c r="G52" s="7"/>
      <c r="H52" s="10"/>
      <c r="I52" s="7"/>
      <c r="J52" s="7"/>
    </row>
    <row r="53" spans="5:10" x14ac:dyDescent="0.35">
      <c r="E53" s="11"/>
      <c r="F53" s="10"/>
      <c r="G53" s="7"/>
      <c r="H53" s="10"/>
      <c r="I53" s="7"/>
      <c r="J53" s="7"/>
    </row>
    <row r="54" spans="5:10" x14ac:dyDescent="0.35">
      <c r="E54" s="11"/>
      <c r="F54" s="10"/>
      <c r="G54" s="7"/>
      <c r="H54" s="10"/>
      <c r="I54" s="7"/>
      <c r="J54" s="7"/>
    </row>
    <row r="55" spans="5:10" x14ac:dyDescent="0.35">
      <c r="E55" s="11"/>
      <c r="F55" s="10"/>
      <c r="G55" s="7"/>
      <c r="H55" s="10"/>
      <c r="I55" s="7"/>
      <c r="J55" s="7"/>
    </row>
    <row r="56" spans="5:10" x14ac:dyDescent="0.35">
      <c r="E56" s="11"/>
      <c r="F56" s="10"/>
      <c r="G56" s="7"/>
      <c r="H56" s="10"/>
      <c r="I56" s="7"/>
      <c r="J56" s="7"/>
    </row>
    <row r="57" spans="5:10" x14ac:dyDescent="0.35">
      <c r="E57" s="11"/>
      <c r="F57" s="10"/>
      <c r="G57" s="7"/>
      <c r="H57" s="10"/>
      <c r="I57" s="7"/>
      <c r="J57" s="7"/>
    </row>
    <row r="58" spans="5:10" x14ac:dyDescent="0.35">
      <c r="E58" s="11"/>
      <c r="F58" s="10"/>
      <c r="G58" s="7"/>
      <c r="H58" s="10"/>
      <c r="I58" s="7"/>
      <c r="J58" s="7"/>
    </row>
    <row r="59" spans="5:10" x14ac:dyDescent="0.35">
      <c r="E59" s="11"/>
      <c r="F59" s="10"/>
      <c r="G59" s="7"/>
      <c r="H59" s="10"/>
      <c r="I59" s="7"/>
      <c r="J59" s="7"/>
    </row>
    <row r="60" spans="5:10" x14ac:dyDescent="0.35">
      <c r="E60" s="11"/>
      <c r="F60" s="10"/>
      <c r="G60" s="7"/>
      <c r="H60" s="10"/>
      <c r="I60" s="7"/>
      <c r="J60" s="7"/>
    </row>
    <row r="61" spans="5:10" x14ac:dyDescent="0.35">
      <c r="E61" s="11"/>
      <c r="F61" s="10"/>
      <c r="G61" s="7"/>
      <c r="H61" s="10"/>
      <c r="I61" s="7"/>
      <c r="J61" s="7"/>
    </row>
    <row r="62" spans="5:10" x14ac:dyDescent="0.35">
      <c r="E62" s="11"/>
      <c r="F62" s="10"/>
      <c r="G62" s="7"/>
      <c r="H62" s="10"/>
      <c r="I62" s="7"/>
      <c r="J62" s="7"/>
    </row>
    <row r="63" spans="5:10" x14ac:dyDescent="0.35">
      <c r="E63" s="11"/>
      <c r="F63" s="10"/>
      <c r="G63" s="7"/>
      <c r="H63" s="10"/>
      <c r="I63" s="7"/>
      <c r="J63" s="7"/>
    </row>
    <row r="64" spans="5:10" x14ac:dyDescent="0.35">
      <c r="E64" s="11"/>
      <c r="F64" s="10"/>
      <c r="G64" s="7"/>
      <c r="H64" s="10"/>
      <c r="I64" s="7"/>
      <c r="J64" s="7"/>
    </row>
    <row r="65" spans="5:10" x14ac:dyDescent="0.35">
      <c r="E65" s="11"/>
      <c r="F65" s="10"/>
      <c r="G65" s="7"/>
      <c r="H65" s="10"/>
      <c r="I65" s="7"/>
      <c r="J65" s="7"/>
    </row>
    <row r="66" spans="5:10" x14ac:dyDescent="0.35">
      <c r="E66" s="11"/>
      <c r="F66" s="10"/>
      <c r="G66" s="7"/>
      <c r="H66" s="10"/>
      <c r="I66" s="7"/>
      <c r="J66" s="7"/>
    </row>
    <row r="67" spans="5:10" x14ac:dyDescent="0.35">
      <c r="E67" s="11"/>
      <c r="F67" s="10"/>
      <c r="G67" s="7"/>
      <c r="H67" s="10"/>
      <c r="I67" s="7"/>
      <c r="J67" s="7"/>
    </row>
    <row r="68" spans="5:10" x14ac:dyDescent="0.35">
      <c r="E68" s="11"/>
      <c r="F68" s="10"/>
      <c r="G68" s="7"/>
      <c r="H68" s="10"/>
      <c r="I68" s="7"/>
      <c r="J68" s="7"/>
    </row>
    <row r="69" spans="5:10" x14ac:dyDescent="0.35">
      <c r="E69" s="11"/>
      <c r="F69" s="10"/>
      <c r="G69" s="7"/>
      <c r="H69" s="10"/>
      <c r="I69" s="7"/>
      <c r="J69" s="7"/>
    </row>
    <row r="70" spans="5:10" x14ac:dyDescent="0.35">
      <c r="E70" s="11"/>
      <c r="F70" s="10"/>
      <c r="G70" s="7"/>
      <c r="H70" s="10"/>
      <c r="I70" s="7"/>
      <c r="J70" s="7"/>
    </row>
    <row r="71" spans="5:10" x14ac:dyDescent="0.35">
      <c r="E71" s="11"/>
      <c r="F71" s="10"/>
      <c r="G71" s="7"/>
      <c r="H71" s="10"/>
      <c r="I71" s="7"/>
      <c r="J71" s="7"/>
    </row>
    <row r="72" spans="5:10" x14ac:dyDescent="0.35">
      <c r="E72" s="11"/>
      <c r="F72" s="10"/>
      <c r="G72" s="7"/>
      <c r="H72" s="10"/>
      <c r="I72" s="7"/>
      <c r="J72" s="7"/>
    </row>
    <row r="73" spans="5:10" x14ac:dyDescent="0.35">
      <c r="E73" s="11"/>
      <c r="F73" s="10"/>
      <c r="G73" s="7"/>
      <c r="H73" s="10"/>
      <c r="I73" s="7"/>
      <c r="J73" s="7"/>
    </row>
    <row r="74" spans="5:10" x14ac:dyDescent="0.35">
      <c r="E74" s="11"/>
      <c r="F74" s="10"/>
      <c r="G74" s="7"/>
      <c r="H74" s="10"/>
      <c r="I74" s="7"/>
      <c r="J74" s="7"/>
    </row>
    <row r="75" spans="5:10" x14ac:dyDescent="0.35">
      <c r="E75" s="11"/>
      <c r="F75" s="10"/>
      <c r="G75" s="7"/>
      <c r="H75" s="10"/>
      <c r="I75" s="7"/>
      <c r="J75" s="7"/>
    </row>
    <row r="76" spans="5:10" x14ac:dyDescent="0.35">
      <c r="E76" s="11"/>
      <c r="F76" s="10"/>
      <c r="G76" s="7"/>
      <c r="H76" s="10"/>
      <c r="I76" s="7"/>
      <c r="J76" s="7"/>
    </row>
    <row r="77" spans="5:10" x14ac:dyDescent="0.35">
      <c r="E77" s="11"/>
      <c r="F77" s="10"/>
      <c r="G77" s="7"/>
      <c r="H77" s="10"/>
      <c r="I77" s="7"/>
      <c r="J77" s="7"/>
    </row>
    <row r="78" spans="5:10" x14ac:dyDescent="0.35">
      <c r="E78" s="11"/>
      <c r="F78" s="10"/>
      <c r="G78" s="7"/>
      <c r="H78" s="10"/>
      <c r="I78" s="7"/>
      <c r="J78" s="7"/>
    </row>
    <row r="79" spans="5:10" x14ac:dyDescent="0.35">
      <c r="E79" s="11"/>
      <c r="F79" s="10"/>
      <c r="G79" s="7"/>
      <c r="H79" s="10"/>
      <c r="I79" s="7"/>
      <c r="J79" s="7"/>
    </row>
    <row r="80" spans="5:10" x14ac:dyDescent="0.35">
      <c r="E80" s="11"/>
      <c r="F80" s="10"/>
      <c r="G80" s="7"/>
      <c r="H80" s="10"/>
      <c r="I80" s="7"/>
      <c r="J80" s="7"/>
    </row>
    <row r="81" spans="5:10" x14ac:dyDescent="0.35">
      <c r="E81" s="11"/>
      <c r="F81" s="10"/>
      <c r="G81" s="7"/>
      <c r="H81" s="10"/>
      <c r="I81" s="7"/>
      <c r="J81" s="7"/>
    </row>
    <row r="82" spans="5:10" x14ac:dyDescent="0.35">
      <c r="E82" s="11"/>
      <c r="F82" s="10"/>
      <c r="G82" s="7"/>
      <c r="H82" s="10"/>
      <c r="I82" s="7"/>
      <c r="J82" s="7"/>
    </row>
    <row r="83" spans="5:10" x14ac:dyDescent="0.35">
      <c r="E83" s="11"/>
      <c r="F83" s="10"/>
      <c r="G83" s="7"/>
      <c r="H83" s="10"/>
      <c r="I83" s="7"/>
      <c r="J83" s="7"/>
    </row>
    <row r="84" spans="5:10" x14ac:dyDescent="0.35">
      <c r="E84" s="11"/>
      <c r="F84" s="10"/>
      <c r="G84" s="7"/>
      <c r="H84" s="10"/>
      <c r="I84" s="7"/>
      <c r="J84" s="7"/>
    </row>
    <row r="85" spans="5:10" x14ac:dyDescent="0.35">
      <c r="E85" s="11"/>
      <c r="F85" s="10"/>
      <c r="G85" s="7"/>
      <c r="H85" s="10"/>
      <c r="I85" s="7"/>
      <c r="J85" s="7"/>
    </row>
    <row r="86" spans="5:10" x14ac:dyDescent="0.35">
      <c r="E86" s="11"/>
      <c r="F86" s="10"/>
      <c r="G86" s="7"/>
      <c r="H86" s="10"/>
      <c r="I86" s="7"/>
      <c r="J86" s="7"/>
    </row>
    <row r="87" spans="5:10" x14ac:dyDescent="0.35">
      <c r="E87" s="11"/>
      <c r="F87" s="10"/>
      <c r="G87" s="7"/>
      <c r="H87" s="10"/>
      <c r="I87" s="7"/>
      <c r="J87" s="7"/>
    </row>
    <row r="88" spans="5:10" x14ac:dyDescent="0.35">
      <c r="E88" s="11"/>
      <c r="F88" s="10"/>
      <c r="G88" s="7"/>
      <c r="H88" s="10"/>
      <c r="I88" s="7"/>
      <c r="J88" s="7"/>
    </row>
    <row r="89" spans="5:10" x14ac:dyDescent="0.35">
      <c r="E89" s="11"/>
      <c r="F89" s="10"/>
      <c r="G89" s="7"/>
      <c r="H89" s="10"/>
      <c r="I89" s="7"/>
      <c r="J89" s="7"/>
    </row>
    <row r="90" spans="5:10" x14ac:dyDescent="0.35">
      <c r="E90" s="11"/>
      <c r="F90" s="10"/>
      <c r="G90" s="7"/>
      <c r="H90" s="10"/>
      <c r="I90" s="7"/>
      <c r="J90" s="7"/>
    </row>
    <row r="91" spans="5:10" x14ac:dyDescent="0.35">
      <c r="E91" s="11"/>
      <c r="F91" s="10"/>
      <c r="G91" s="7"/>
      <c r="H91" s="10"/>
      <c r="I91" s="7"/>
      <c r="J91" s="7"/>
    </row>
    <row r="92" spans="5:10" x14ac:dyDescent="0.35">
      <c r="E92" s="11"/>
      <c r="F92" s="10"/>
      <c r="G92" s="7"/>
      <c r="H92" s="10"/>
      <c r="I92" s="7"/>
      <c r="J92" s="7"/>
    </row>
    <row r="93" spans="5:10" x14ac:dyDescent="0.35">
      <c r="E93" s="11"/>
      <c r="F93" s="10"/>
      <c r="G93" s="7"/>
      <c r="H93" s="10"/>
      <c r="I93" s="7"/>
      <c r="J93" s="7"/>
    </row>
    <row r="94" spans="5:10" x14ac:dyDescent="0.35">
      <c r="E94" s="11"/>
      <c r="F94" s="10"/>
      <c r="G94" s="7"/>
      <c r="H94" s="10"/>
      <c r="I94" s="7"/>
      <c r="J94" s="7"/>
    </row>
    <row r="95" spans="5:10" x14ac:dyDescent="0.35">
      <c r="E95" s="11"/>
      <c r="F95" s="10"/>
      <c r="G95" s="7"/>
      <c r="H95" s="10"/>
      <c r="I95" s="7"/>
      <c r="J95" s="7"/>
    </row>
    <row r="96" spans="5:10" x14ac:dyDescent="0.35">
      <c r="E96" s="11"/>
      <c r="F96" s="10"/>
      <c r="G96" s="7"/>
      <c r="H96" s="10"/>
      <c r="I96" s="7"/>
      <c r="J96" s="7"/>
    </row>
    <row r="97" spans="5:10" x14ac:dyDescent="0.35">
      <c r="E97" s="11"/>
      <c r="F97" s="10"/>
      <c r="G97" s="7"/>
      <c r="H97" s="10"/>
      <c r="I97" s="7"/>
      <c r="J97" s="7"/>
    </row>
    <row r="98" spans="5:10" x14ac:dyDescent="0.35">
      <c r="E98" s="11"/>
      <c r="F98" s="10"/>
      <c r="G98" s="7"/>
      <c r="H98" s="10"/>
      <c r="I98" s="7"/>
      <c r="J98" s="7"/>
    </row>
    <row r="99" spans="5:10" x14ac:dyDescent="0.35">
      <c r="E99" s="11"/>
      <c r="F99" s="10"/>
      <c r="G99" s="7"/>
      <c r="H99" s="10"/>
      <c r="I99" s="7"/>
    </row>
    <row r="100" spans="5:10" x14ac:dyDescent="0.35">
      <c r="E100" s="11"/>
      <c r="F100" s="10"/>
      <c r="G100" s="7"/>
      <c r="H100" s="10"/>
      <c r="I100" s="7"/>
    </row>
    <row r="101" spans="5:10" x14ac:dyDescent="0.35">
      <c r="E101" s="11"/>
      <c r="F101" s="10"/>
      <c r="G101" s="7"/>
      <c r="H101" s="10"/>
      <c r="I101" s="7"/>
    </row>
    <row r="102" spans="5:10" x14ac:dyDescent="0.35">
      <c r="E102" s="11"/>
      <c r="F102" s="10"/>
      <c r="G102" s="7"/>
      <c r="H102" s="10"/>
      <c r="I102" s="7"/>
    </row>
    <row r="103" spans="5:10" x14ac:dyDescent="0.35">
      <c r="E103" s="11"/>
      <c r="F103" s="10"/>
      <c r="G103" s="7"/>
      <c r="H103" s="10"/>
      <c r="I103" s="7"/>
    </row>
    <row r="104" spans="5:10" x14ac:dyDescent="0.35">
      <c r="E104" s="11"/>
      <c r="F104" s="10"/>
      <c r="G104" s="7"/>
      <c r="H104" s="10"/>
      <c r="I104" s="7"/>
    </row>
    <row r="105" spans="5:10" x14ac:dyDescent="0.35">
      <c r="E105" s="11"/>
      <c r="F105" s="10"/>
      <c r="G105" s="7"/>
      <c r="H105" s="10"/>
      <c r="I105" s="7"/>
    </row>
    <row r="106" spans="5:10" x14ac:dyDescent="0.35">
      <c r="E106" s="11"/>
      <c r="F106" s="10"/>
      <c r="G106" s="7"/>
      <c r="H106" s="10"/>
      <c r="I106" s="7"/>
    </row>
    <row r="107" spans="5:10" x14ac:dyDescent="0.35">
      <c r="E107" s="11"/>
      <c r="F107" s="10"/>
      <c r="G107" s="7"/>
      <c r="H107" s="10"/>
      <c r="I107" s="7"/>
    </row>
    <row r="108" spans="5:10" x14ac:dyDescent="0.35">
      <c r="E108" s="11"/>
      <c r="F108" s="10"/>
      <c r="G108" s="7"/>
      <c r="H108" s="10"/>
      <c r="I108" s="7"/>
    </row>
    <row r="109" spans="5:10" x14ac:dyDescent="0.35">
      <c r="E109" s="11"/>
      <c r="F109" s="10"/>
      <c r="G109" s="7"/>
      <c r="H109" s="10"/>
      <c r="I109" s="7"/>
    </row>
    <row r="110" spans="5:10" x14ac:dyDescent="0.35">
      <c r="E110" s="11"/>
      <c r="F110" s="10"/>
      <c r="G110" s="7"/>
      <c r="H110" s="10"/>
      <c r="I110" s="7"/>
    </row>
    <row r="111" spans="5:10" x14ac:dyDescent="0.35">
      <c r="F111" s="10"/>
      <c r="G111" s="7"/>
      <c r="H111" s="10"/>
      <c r="I111" s="7"/>
    </row>
    <row r="112" spans="5:10" x14ac:dyDescent="0.35">
      <c r="F112" s="10"/>
      <c r="G112" s="7"/>
      <c r="H112" s="10"/>
      <c r="I112" s="7"/>
    </row>
    <row r="113" spans="6:9" x14ac:dyDescent="0.35">
      <c r="F113" s="10"/>
      <c r="G113" s="7"/>
      <c r="H113" s="10"/>
      <c r="I113" s="7"/>
    </row>
    <row r="114" spans="6:9" x14ac:dyDescent="0.35">
      <c r="F114" s="10"/>
      <c r="G114" s="7"/>
      <c r="H114" s="10"/>
      <c r="I114" s="7"/>
    </row>
    <row r="115" spans="6:9" x14ac:dyDescent="0.35">
      <c r="F115" s="10"/>
      <c r="G115" s="7"/>
      <c r="H115" s="10"/>
      <c r="I115" s="7"/>
    </row>
    <row r="116" spans="6:9" x14ac:dyDescent="0.35">
      <c r="F116" s="10"/>
      <c r="G116" s="7"/>
      <c r="H116" s="10"/>
      <c r="I116" s="7"/>
    </row>
    <row r="117" spans="6:9" x14ac:dyDescent="0.35">
      <c r="F117" s="10"/>
      <c r="G117" s="7"/>
      <c r="H117" s="10"/>
      <c r="I117" s="7"/>
    </row>
    <row r="118" spans="6:9" x14ac:dyDescent="0.35">
      <c r="F118" s="10"/>
      <c r="G118" s="7"/>
      <c r="H118" s="10"/>
      <c r="I118" s="7"/>
    </row>
    <row r="119" spans="6:9" x14ac:dyDescent="0.35">
      <c r="F119" s="10"/>
      <c r="G119" s="7"/>
      <c r="H119" s="10"/>
      <c r="I119" s="7"/>
    </row>
    <row r="120" spans="6:9" x14ac:dyDescent="0.35">
      <c r="F120" s="10"/>
      <c r="G120" s="7"/>
      <c r="H120" s="10"/>
      <c r="I120" s="7"/>
    </row>
    <row r="121" spans="6:9" x14ac:dyDescent="0.35">
      <c r="F121" s="10"/>
      <c r="G121" s="7"/>
      <c r="H121" s="10"/>
      <c r="I121" s="7"/>
    </row>
    <row r="122" spans="6:9" x14ac:dyDescent="0.35">
      <c r="F122" s="10"/>
      <c r="G122" s="7"/>
      <c r="H122" s="10"/>
      <c r="I122" s="7"/>
    </row>
    <row r="123" spans="6:9" x14ac:dyDescent="0.35">
      <c r="F123" s="10"/>
      <c r="G123" s="7"/>
      <c r="H123" s="10"/>
      <c r="I123" s="7"/>
    </row>
    <row r="124" spans="6:9" x14ac:dyDescent="0.35">
      <c r="F124" s="10"/>
      <c r="G124" s="7"/>
      <c r="H124" s="10"/>
      <c r="I124" s="7"/>
    </row>
    <row r="125" spans="6:9" x14ac:dyDescent="0.35">
      <c r="F125" s="10"/>
      <c r="G125" s="7"/>
      <c r="H125" s="10"/>
      <c r="I125" s="7"/>
    </row>
    <row r="126" spans="6:9" x14ac:dyDescent="0.35">
      <c r="F126" s="10"/>
      <c r="G126" s="7"/>
      <c r="H126" s="10"/>
      <c r="I126" s="7"/>
    </row>
    <row r="127" spans="6:9" x14ac:dyDescent="0.35">
      <c r="F127" s="10"/>
      <c r="G127" s="7"/>
      <c r="H127" s="10"/>
      <c r="I127" s="7"/>
    </row>
    <row r="128" spans="6:9" x14ac:dyDescent="0.35">
      <c r="F128" s="10"/>
      <c r="G128" s="7"/>
      <c r="H128" s="10"/>
      <c r="I128" s="7"/>
    </row>
    <row r="129" spans="6:9" x14ac:dyDescent="0.35">
      <c r="F129" s="10"/>
      <c r="G129" s="7"/>
      <c r="H129" s="10"/>
      <c r="I129" s="7"/>
    </row>
    <row r="130" spans="6:9" x14ac:dyDescent="0.35">
      <c r="F130" s="10"/>
      <c r="G130" s="7"/>
      <c r="H130" s="10"/>
      <c r="I130" s="7"/>
    </row>
    <row r="131" spans="6:9" x14ac:dyDescent="0.35">
      <c r="F131" s="10"/>
      <c r="G131" s="7"/>
      <c r="H131" s="10"/>
      <c r="I131" s="7"/>
    </row>
    <row r="132" spans="6:9" x14ac:dyDescent="0.35">
      <c r="F132" s="10"/>
      <c r="G132" s="7"/>
      <c r="H132" s="10"/>
      <c r="I132" s="7"/>
    </row>
    <row r="133" spans="6:9" x14ac:dyDescent="0.35">
      <c r="F133" s="10"/>
      <c r="G133" s="7"/>
      <c r="H133" s="10"/>
      <c r="I133" s="7"/>
    </row>
    <row r="134" spans="6:9" x14ac:dyDescent="0.35">
      <c r="F134" s="10"/>
      <c r="G134" s="7"/>
      <c r="H134" s="10"/>
      <c r="I134" s="7"/>
    </row>
    <row r="135" spans="6:9" x14ac:dyDescent="0.35">
      <c r="F135" s="10"/>
      <c r="G135" s="7"/>
      <c r="H135" s="10"/>
      <c r="I135" s="7"/>
    </row>
    <row r="136" spans="6:9" x14ac:dyDescent="0.35">
      <c r="F136" s="10"/>
      <c r="G136" s="7"/>
      <c r="H136" s="10"/>
      <c r="I136" s="7"/>
    </row>
    <row r="137" spans="6:9" x14ac:dyDescent="0.35">
      <c r="F137" s="10"/>
      <c r="G137" s="7"/>
      <c r="H137" s="10"/>
      <c r="I137" s="7"/>
    </row>
    <row r="138" spans="6:9" x14ac:dyDescent="0.35">
      <c r="F138" s="10"/>
      <c r="G138" s="7"/>
      <c r="H138" s="10"/>
      <c r="I138" s="7"/>
    </row>
    <row r="139" spans="6:9" x14ac:dyDescent="0.35">
      <c r="F139" s="10"/>
      <c r="G139" s="7"/>
      <c r="H139" s="10"/>
      <c r="I139" s="7"/>
    </row>
    <row r="140" spans="6:9" x14ac:dyDescent="0.35">
      <c r="F140" s="10"/>
      <c r="G140" s="7"/>
      <c r="H140" s="10"/>
      <c r="I140" s="7"/>
    </row>
    <row r="141" spans="6:9" x14ac:dyDescent="0.35">
      <c r="F141" s="10"/>
      <c r="G141" s="7"/>
      <c r="H141" s="10"/>
      <c r="I141" s="7"/>
    </row>
    <row r="142" spans="6:9" x14ac:dyDescent="0.35">
      <c r="F142" s="10"/>
      <c r="G142" s="7"/>
      <c r="H142" s="10"/>
      <c r="I142" s="7"/>
    </row>
    <row r="143" spans="6:9" x14ac:dyDescent="0.35">
      <c r="F143" s="10"/>
      <c r="G143" s="7"/>
      <c r="I143" s="7"/>
    </row>
    <row r="144" spans="6:9" x14ac:dyDescent="0.35">
      <c r="F144" s="10"/>
      <c r="G144" s="7"/>
      <c r="I144" s="7"/>
    </row>
    <row r="145" spans="6:9" x14ac:dyDescent="0.35">
      <c r="F145" s="10"/>
      <c r="G145" s="7"/>
      <c r="I145" s="7"/>
    </row>
    <row r="146" spans="6:9" x14ac:dyDescent="0.35">
      <c r="F146" s="10"/>
      <c r="G146" s="7"/>
      <c r="I146" s="7"/>
    </row>
    <row r="147" spans="6:9" x14ac:dyDescent="0.35">
      <c r="F147" s="10"/>
      <c r="G147" s="7"/>
      <c r="I147" s="7"/>
    </row>
    <row r="148" spans="6:9" x14ac:dyDescent="0.35">
      <c r="F148" s="10"/>
      <c r="G148" s="7"/>
      <c r="I148" s="7"/>
    </row>
    <row r="149" spans="6:9" x14ac:dyDescent="0.35">
      <c r="F149" s="10"/>
      <c r="G149" s="7"/>
      <c r="I149" s="7"/>
    </row>
    <row r="150" spans="6:9" x14ac:dyDescent="0.35">
      <c r="F150" s="10"/>
      <c r="G150" s="7"/>
      <c r="I150" s="7"/>
    </row>
    <row r="151" spans="6:9" x14ac:dyDescent="0.35">
      <c r="F151" s="10"/>
      <c r="G151" s="7"/>
      <c r="I151" s="7"/>
    </row>
    <row r="152" spans="6:9" x14ac:dyDescent="0.35">
      <c r="F152" s="10"/>
      <c r="G152" s="7"/>
      <c r="I152" s="7"/>
    </row>
    <row r="153" spans="6:9" x14ac:dyDescent="0.35">
      <c r="F153" s="10"/>
      <c r="G153" s="7"/>
      <c r="I153" s="7"/>
    </row>
    <row r="154" spans="6:9" x14ac:dyDescent="0.35">
      <c r="F154" s="10"/>
      <c r="G154" s="7"/>
      <c r="I154" s="7"/>
    </row>
    <row r="155" spans="6:9" x14ac:dyDescent="0.35">
      <c r="F155" s="10"/>
      <c r="G155" s="7"/>
      <c r="I155" s="7"/>
    </row>
    <row r="156" spans="6:9" x14ac:dyDescent="0.35">
      <c r="F156" s="10"/>
      <c r="G156" s="7"/>
      <c r="I156" s="7"/>
    </row>
    <row r="157" spans="6:9" x14ac:dyDescent="0.35">
      <c r="F157" s="10"/>
      <c r="G157" s="7"/>
      <c r="I157" s="7"/>
    </row>
    <row r="158" spans="6:9" x14ac:dyDescent="0.35">
      <c r="F158" s="10"/>
      <c r="G158" s="7"/>
      <c r="I158" s="7"/>
    </row>
    <row r="159" spans="6:9" x14ac:dyDescent="0.35">
      <c r="F159" s="10"/>
      <c r="G159" s="7"/>
      <c r="I159" s="7"/>
    </row>
    <row r="160" spans="6:9" x14ac:dyDescent="0.35">
      <c r="F160" s="10"/>
      <c r="G160" s="7"/>
      <c r="I160" s="7"/>
    </row>
    <row r="161" spans="6:9" x14ac:dyDescent="0.35">
      <c r="F161" s="10"/>
      <c r="G161" s="7"/>
      <c r="I161" s="7"/>
    </row>
    <row r="162" spans="6:9" x14ac:dyDescent="0.35">
      <c r="F162" s="10"/>
      <c r="G162" s="7"/>
      <c r="I162" s="7"/>
    </row>
    <row r="163" spans="6:9" x14ac:dyDescent="0.35">
      <c r="F163" s="10"/>
      <c r="G163" s="7"/>
      <c r="I163" s="7"/>
    </row>
    <row r="164" spans="6:9" x14ac:dyDescent="0.35">
      <c r="F164" s="10"/>
      <c r="G164" s="7"/>
      <c r="I164" s="7"/>
    </row>
    <row r="165" spans="6:9" x14ac:dyDescent="0.35">
      <c r="F165" s="10"/>
      <c r="G165" s="7"/>
    </row>
    <row r="166" spans="6:9" x14ac:dyDescent="0.35">
      <c r="F166" s="10"/>
      <c r="G166" s="7"/>
    </row>
    <row r="167" spans="6:9" x14ac:dyDescent="0.35">
      <c r="F167" s="10"/>
      <c r="G167" s="7"/>
    </row>
    <row r="168" spans="6:9" x14ac:dyDescent="0.35">
      <c r="F168" s="10"/>
      <c r="G168" s="7"/>
    </row>
    <row r="169" spans="6:9" x14ac:dyDescent="0.35">
      <c r="F169" s="10"/>
      <c r="G169" s="7"/>
    </row>
    <row r="170" spans="6:9" x14ac:dyDescent="0.35">
      <c r="F170" s="10"/>
      <c r="G170" s="7"/>
    </row>
    <row r="171" spans="6:9" x14ac:dyDescent="0.35">
      <c r="F171" s="10"/>
      <c r="G171" s="7"/>
    </row>
    <row r="172" spans="6:9" x14ac:dyDescent="0.35">
      <c r="F172" s="10"/>
      <c r="G172" s="7"/>
    </row>
    <row r="173" spans="6:9" x14ac:dyDescent="0.35">
      <c r="F173" s="10"/>
      <c r="G173" s="7"/>
    </row>
    <row r="174" spans="6:9" x14ac:dyDescent="0.35">
      <c r="F174" s="10"/>
      <c r="G174" s="7"/>
    </row>
    <row r="175" spans="6:9" x14ac:dyDescent="0.35">
      <c r="F175" s="10"/>
      <c r="G175" s="7"/>
    </row>
    <row r="176" spans="6:9" x14ac:dyDescent="0.35">
      <c r="F176" s="10"/>
      <c r="G176" s="7"/>
    </row>
    <row r="177" spans="6:7" x14ac:dyDescent="0.35">
      <c r="F177" s="10"/>
      <c r="G177" s="7"/>
    </row>
    <row r="178" spans="6:7" x14ac:dyDescent="0.35">
      <c r="F178" s="10"/>
      <c r="G178" s="7"/>
    </row>
    <row r="179" spans="6:7" x14ac:dyDescent="0.35">
      <c r="F179" s="10"/>
      <c r="G179" s="7"/>
    </row>
    <row r="180" spans="6:7" x14ac:dyDescent="0.35">
      <c r="F180" s="10"/>
      <c r="G180" s="7"/>
    </row>
    <row r="181" spans="6:7" x14ac:dyDescent="0.35">
      <c r="F181" s="10"/>
      <c r="G181" s="7"/>
    </row>
    <row r="182" spans="6:7" x14ac:dyDescent="0.35">
      <c r="F182" s="10"/>
      <c r="G182" s="7"/>
    </row>
    <row r="183" spans="6:7" x14ac:dyDescent="0.35">
      <c r="F183" s="10"/>
      <c r="G183" s="7"/>
    </row>
    <row r="184" spans="6:7" x14ac:dyDescent="0.35">
      <c r="F184" s="10"/>
      <c r="G184" s="7"/>
    </row>
    <row r="185" spans="6:7" x14ac:dyDescent="0.35">
      <c r="F185" s="10"/>
      <c r="G185" s="7"/>
    </row>
    <row r="186" spans="6:7" x14ac:dyDescent="0.35">
      <c r="F186" s="10"/>
      <c r="G186" s="7"/>
    </row>
    <row r="187" spans="6:7" x14ac:dyDescent="0.35">
      <c r="G187" s="7"/>
    </row>
    <row r="188" spans="6:7" x14ac:dyDescent="0.35">
      <c r="G188" s="7"/>
    </row>
    <row r="189" spans="6:7" x14ac:dyDescent="0.35">
      <c r="G189" s="7"/>
    </row>
    <row r="190" spans="6:7" x14ac:dyDescent="0.35">
      <c r="G190" s="7"/>
    </row>
    <row r="191" spans="6:7" x14ac:dyDescent="0.35">
      <c r="G191" s="7"/>
    </row>
    <row r="192" spans="6:7" x14ac:dyDescent="0.35">
      <c r="G192" s="7"/>
    </row>
    <row r="193" spans="7:7" x14ac:dyDescent="0.35">
      <c r="G193" s="7"/>
    </row>
    <row r="194" spans="7:7" x14ac:dyDescent="0.35">
      <c r="G194" s="7"/>
    </row>
    <row r="195" spans="7:7" x14ac:dyDescent="0.35">
      <c r="G195" s="7"/>
    </row>
    <row r="196" spans="7:7" x14ac:dyDescent="0.35">
      <c r="G196" s="7"/>
    </row>
    <row r="197" spans="7:7" x14ac:dyDescent="0.35">
      <c r="G197" s="7"/>
    </row>
    <row r="198" spans="7:7" x14ac:dyDescent="0.35">
      <c r="G198" s="7"/>
    </row>
    <row r="199" spans="7:7" x14ac:dyDescent="0.35">
      <c r="G199" s="7"/>
    </row>
    <row r="200" spans="7:7" x14ac:dyDescent="0.35">
      <c r="G200" s="7"/>
    </row>
    <row r="201" spans="7:7" x14ac:dyDescent="0.35">
      <c r="G201" s="7"/>
    </row>
    <row r="202" spans="7:7" x14ac:dyDescent="0.35">
      <c r="G202" s="7"/>
    </row>
    <row r="203" spans="7:7" x14ac:dyDescent="0.35">
      <c r="G203" s="7"/>
    </row>
    <row r="204" spans="7:7" x14ac:dyDescent="0.35">
      <c r="G204" s="7"/>
    </row>
    <row r="205" spans="7:7" x14ac:dyDescent="0.35">
      <c r="G205" s="7"/>
    </row>
    <row r="206" spans="7:7" x14ac:dyDescent="0.35">
      <c r="G206" s="7"/>
    </row>
    <row r="207" spans="7:7" x14ac:dyDescent="0.35">
      <c r="G207" s="7"/>
    </row>
    <row r="208" spans="7:7" x14ac:dyDescent="0.35">
      <c r="G208" s="7"/>
    </row>
  </sheetData>
  <mergeCells count="3">
    <mergeCell ref="D8:E8"/>
    <mergeCell ref="F8:G8"/>
    <mergeCell ref="H8:I8"/>
  </mergeCells>
  <phoneticPr fontId="1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3CFF-283C-4D4B-A155-AB2CBB722FB3}">
  <dimension ref="A1:E24"/>
  <sheetViews>
    <sheetView tabSelected="1" workbookViewId="0">
      <selection activeCell="G9" sqref="G9"/>
    </sheetView>
  </sheetViews>
  <sheetFormatPr defaultRowHeight="17.5" x14ac:dyDescent="0.35"/>
  <sheetData>
    <row r="1" spans="1:5" x14ac:dyDescent="0.35">
      <c r="A1" t="s">
        <v>32</v>
      </c>
      <c r="B1" t="s">
        <v>33</v>
      </c>
      <c r="D1" t="s">
        <v>34</v>
      </c>
      <c r="E1" t="s">
        <v>35</v>
      </c>
    </row>
    <row r="2" spans="1:5" x14ac:dyDescent="0.35">
      <c r="A2">
        <v>1E-3</v>
      </c>
      <c r="B2" s="24">
        <v>5.6000000000000001E-2</v>
      </c>
      <c r="D2">
        <f>LOG(A2)</f>
        <v>-3</v>
      </c>
      <c r="E2">
        <f>LOG(B2)</f>
        <v>-1.2518119729937995</v>
      </c>
    </row>
    <row r="3" spans="1:5" x14ac:dyDescent="0.35">
      <c r="A3">
        <v>2E-3</v>
      </c>
      <c r="B3" s="24">
        <v>7.8E-2</v>
      </c>
      <c r="D3">
        <f t="shared" ref="D3:E11" si="0">LOG(A3)</f>
        <v>-2.6989700043360187</v>
      </c>
      <c r="E3">
        <f t="shared" si="0"/>
        <v>-1.1079053973095196</v>
      </c>
    </row>
    <row r="4" spans="1:5" x14ac:dyDescent="0.35">
      <c r="A4">
        <v>3.0000000000000001E-3</v>
      </c>
      <c r="B4" s="24">
        <v>9.6000000000000002E-2</v>
      </c>
      <c r="D4">
        <f t="shared" si="0"/>
        <v>-2.5228787452803374</v>
      </c>
      <c r="E4">
        <f t="shared" si="0"/>
        <v>-1.0177287669604316</v>
      </c>
    </row>
    <row r="5" spans="1:5" x14ac:dyDescent="0.35">
      <c r="A5">
        <v>4.0000000000000001E-3</v>
      </c>
      <c r="B5" s="24">
        <v>0.108</v>
      </c>
      <c r="D5">
        <f t="shared" si="0"/>
        <v>-2.3979400086720375</v>
      </c>
      <c r="E5">
        <f t="shared" si="0"/>
        <v>-0.96657624451305035</v>
      </c>
    </row>
    <row r="6" spans="1:5" x14ac:dyDescent="0.35">
      <c r="A6">
        <v>5.0000000000000001E-3</v>
      </c>
      <c r="B6" s="24">
        <v>0.12</v>
      </c>
      <c r="D6">
        <f t="shared" si="0"/>
        <v>-2.3010299956639813</v>
      </c>
      <c r="E6">
        <f t="shared" si="0"/>
        <v>-0.92081875395237522</v>
      </c>
    </row>
    <row r="7" spans="1:5" x14ac:dyDescent="0.35">
      <c r="A7">
        <v>6.0000000000000001E-3</v>
      </c>
      <c r="B7" s="24">
        <v>0.13200000000000001</v>
      </c>
      <c r="D7">
        <f t="shared" si="0"/>
        <v>-2.2218487496163561</v>
      </c>
      <c r="E7">
        <f t="shared" si="0"/>
        <v>-0.87942606879415008</v>
      </c>
    </row>
    <row r="8" spans="1:5" x14ac:dyDescent="0.35">
      <c r="A8">
        <v>7.0000000000000001E-3</v>
      </c>
      <c r="B8" s="24">
        <v>0.14399999999999999</v>
      </c>
      <c r="D8">
        <f t="shared" si="0"/>
        <v>-2.1549019599857431</v>
      </c>
      <c r="E8">
        <f t="shared" si="0"/>
        <v>-0.84163750790475034</v>
      </c>
    </row>
    <row r="9" spans="1:5" x14ac:dyDescent="0.35">
      <c r="A9">
        <v>8.0000000000000002E-3</v>
      </c>
      <c r="B9" s="24">
        <v>0.152</v>
      </c>
      <c r="D9">
        <f t="shared" si="0"/>
        <v>-2.0969100130080562</v>
      </c>
      <c r="E9">
        <f t="shared" si="0"/>
        <v>-0.81815641205522749</v>
      </c>
    </row>
    <row r="10" spans="1:5" x14ac:dyDescent="0.35">
      <c r="A10">
        <v>8.9999999999999993E-3</v>
      </c>
      <c r="B10" s="24">
        <v>0.16400000000000001</v>
      </c>
      <c r="D10">
        <f t="shared" si="0"/>
        <v>-2.0457574905606752</v>
      </c>
      <c r="E10">
        <f t="shared" si="0"/>
        <v>-0.78515615195230215</v>
      </c>
    </row>
    <row r="11" spans="1:5" x14ac:dyDescent="0.35">
      <c r="A11">
        <v>0.01</v>
      </c>
      <c r="B11" s="24">
        <v>0.17</v>
      </c>
      <c r="D11">
        <f t="shared" si="0"/>
        <v>-2</v>
      </c>
      <c r="E11">
        <f t="shared" si="0"/>
        <v>-0.769551078621726</v>
      </c>
    </row>
    <row r="13" spans="1:5" ht="17.5" customHeight="1" x14ac:dyDescent="0.35">
      <c r="A13" s="25" t="s">
        <v>36</v>
      </c>
      <c r="B13" s="25"/>
      <c r="C13" s="25"/>
    </row>
    <row r="14" spans="1:5" x14ac:dyDescent="0.35">
      <c r="A14" s="25"/>
      <c r="B14" s="25"/>
      <c r="C14" s="25"/>
    </row>
    <row r="15" spans="1:5" x14ac:dyDescent="0.35">
      <c r="A15" s="25"/>
      <c r="B15" s="25"/>
      <c r="C15" s="25"/>
    </row>
    <row r="16" spans="1:5" x14ac:dyDescent="0.35">
      <c r="A16" s="25"/>
      <c r="B16" s="25"/>
      <c r="C16" s="25"/>
    </row>
    <row r="17" spans="1:3" x14ac:dyDescent="0.35">
      <c r="A17" s="25"/>
      <c r="B17" s="25"/>
      <c r="C17" s="25"/>
    </row>
    <row r="18" spans="1:3" x14ac:dyDescent="0.35">
      <c r="A18" s="25"/>
      <c r="B18" s="25"/>
      <c r="C18" s="25"/>
    </row>
    <row r="19" spans="1:3" x14ac:dyDescent="0.35">
      <c r="A19" s="25"/>
      <c r="B19" s="25"/>
      <c r="C19" s="25"/>
    </row>
    <row r="20" spans="1:3" x14ac:dyDescent="0.35">
      <c r="A20" s="25"/>
      <c r="B20" s="25"/>
      <c r="C20" s="25"/>
    </row>
    <row r="21" spans="1:3" x14ac:dyDescent="0.35">
      <c r="A21" s="25"/>
      <c r="B21" s="25"/>
      <c r="C21" s="25"/>
    </row>
    <row r="22" spans="1:3" x14ac:dyDescent="0.35">
      <c r="A22" s="25"/>
      <c r="B22" s="25"/>
      <c r="C22" s="25"/>
    </row>
    <row r="23" spans="1:3" x14ac:dyDescent="0.35">
      <c r="A23" s="25"/>
      <c r="B23" s="25"/>
      <c r="C23" s="25"/>
    </row>
    <row r="24" spans="1:3" x14ac:dyDescent="0.35">
      <c r="A24" s="25"/>
      <c r="B24" s="25"/>
      <c r="C24" s="25"/>
    </row>
  </sheetData>
  <mergeCells count="1">
    <mergeCell ref="A13:C24"/>
  </mergeCells>
  <phoneticPr fontId="1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75F8-6D89-46D4-8A2D-1C1AD1078588}">
  <dimension ref="B1:P208"/>
  <sheetViews>
    <sheetView zoomScale="80" zoomScaleNormal="80" workbookViewId="0">
      <selection activeCell="I36" sqref="I36"/>
    </sheetView>
  </sheetViews>
  <sheetFormatPr defaultRowHeight="17.5" x14ac:dyDescent="0.35"/>
  <cols>
    <col min="1" max="1" width="3.59765625" customWidth="1"/>
    <col min="2" max="2" width="9.86328125" bestFit="1" customWidth="1"/>
    <col min="7" max="7" width="11.6640625" bestFit="1" customWidth="1"/>
    <col min="10" max="10" width="10.19921875" bestFit="1" customWidth="1"/>
    <col min="13" max="13" width="11.6640625" bestFit="1" customWidth="1"/>
  </cols>
  <sheetData>
    <row r="1" spans="2:16" x14ac:dyDescent="0.35">
      <c r="B1" s="16" cm="1">
        <f t="array" aca="1" ref="B1" ca="1">_xll.MONTE.COUNT()</f>
        <v>6410</v>
      </c>
    </row>
    <row r="2" spans="2:16" x14ac:dyDescent="0.35">
      <c r="B2" s="3" t="s">
        <v>15</v>
      </c>
      <c r="C2">
        <v>0</v>
      </c>
      <c r="F2" s="3" t="s">
        <v>20</v>
      </c>
      <c r="G2" s="7" cm="1">
        <f t="array" ref="G2">_xll.OPTION.BLACK.PUT(f, sigma*SQRT(t), k)</f>
        <v>3.987761167674492</v>
      </c>
      <c r="I2" s="8" cm="1">
        <f t="array" ref="I2">_xll.OPTION.BLACK.PUT_DELTA(f, sigma*SQRT(t), k)</f>
        <v>-0.48006119416162751</v>
      </c>
      <c r="J2" s="8" cm="1">
        <f t="array" ref="J2">_xll.OPTION.BLACK.PUT(f+0.01, sigma*SQRT(t), k)</f>
        <v>3.9829625478526722</v>
      </c>
      <c r="K2" s="8" cm="1">
        <f t="array" ref="K2">_xll.OPTION.BLACK.PUT(f-0.01, sigma*SQRT(t), k)</f>
        <v>3.9925637719351386</v>
      </c>
      <c r="L2" s="8">
        <f>(J2-K2)/0.02</f>
        <v>-0.48006120412331654</v>
      </c>
      <c r="M2" s="9">
        <f>I2-L2</f>
        <v>9.9616890292253402E-9</v>
      </c>
    </row>
    <row r="3" spans="2:16" x14ac:dyDescent="0.35">
      <c r="B3" s="3" t="s">
        <v>16</v>
      </c>
      <c r="C3">
        <v>100</v>
      </c>
      <c r="F3" s="3" t="s">
        <v>28</v>
      </c>
      <c r="G3" s="7" cm="1">
        <f t="array" aca="1" ref="G3" ca="1">_xlfn.TAKE(S_,-1)</f>
        <v>117.57366520434802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</row>
    <row r="4" spans="2:16" x14ac:dyDescent="0.35">
      <c r="B4" s="3" t="s">
        <v>14</v>
      </c>
      <c r="C4">
        <v>0.2</v>
      </c>
      <c r="F4" s="3" t="s">
        <v>24</v>
      </c>
      <c r="G4" s="10">
        <f ca="1">MAX(k - last,0)</f>
        <v>0</v>
      </c>
      <c r="H4" s="10">
        <f t="array" aca="1" ref="H4:I4" ca="1">_xll.MONTE.STDEV(G4)</f>
        <v>4.0366832884358645</v>
      </c>
      <c r="I4" s="10">
        <f ca="1"/>
        <v>5.5355813948013548</v>
      </c>
      <c r="M4">
        <v>1E-3</v>
      </c>
      <c r="N4" s="6">
        <v>2</v>
      </c>
      <c r="O4" s="6">
        <v>1</v>
      </c>
      <c r="P4" s="6">
        <v>2</v>
      </c>
    </row>
    <row r="5" spans="2:16" x14ac:dyDescent="0.35">
      <c r="B5" s="3" t="s">
        <v>1</v>
      </c>
      <c r="C5">
        <v>0.25</v>
      </c>
      <c r="F5" s="3" t="s">
        <v>25</v>
      </c>
      <c r="G5" s="10" cm="1">
        <f t="array" aca="1" ref="G5" ca="1">_xlfn.TAKE(A,-1)</f>
        <v>6.9758325212150822</v>
      </c>
      <c r="H5" s="10"/>
      <c r="I5" s="10"/>
      <c r="M5">
        <v>0.01</v>
      </c>
      <c r="N5" s="6">
        <v>3</v>
      </c>
      <c r="O5" s="6">
        <v>1</v>
      </c>
      <c r="P5" s="6">
        <v>3</v>
      </c>
    </row>
    <row r="6" spans="2:16" x14ac:dyDescent="0.35">
      <c r="B6" s="3" t="s">
        <v>21</v>
      </c>
      <c r="C6">
        <f>0.01</f>
        <v>0.01</v>
      </c>
      <c r="F6" s="3" t="s">
        <v>29</v>
      </c>
      <c r="G6" s="10">
        <f ca="1">payoff-hedge</f>
        <v>-6.9758325212150822</v>
      </c>
      <c r="H6" s="7">
        <f t="array" aca="1" ref="H6:I6" ca="1">_xll.MONTE.STDEV(error)</f>
        <v>0.12359891626440073</v>
      </c>
      <c r="I6" s="12">
        <f ca="1"/>
        <v>11.815113567900633</v>
      </c>
      <c r="J6" s="15">
        <f ca="1">I6/put</f>
        <v>2.9628438291831682</v>
      </c>
      <c r="K6" s="14" t="s">
        <v>30</v>
      </c>
      <c r="M6">
        <v>0.1</v>
      </c>
    </row>
    <row r="7" spans="2:16" x14ac:dyDescent="0.35">
      <c r="B7" s="3" t="s">
        <v>17</v>
      </c>
      <c r="C7">
        <v>100</v>
      </c>
    </row>
    <row r="8" spans="2:16" ht="18.5" x14ac:dyDescent="0.45">
      <c r="D8" s="22" t="s">
        <v>0</v>
      </c>
      <c r="E8" s="22"/>
      <c r="F8" s="23" t="s">
        <v>10</v>
      </c>
      <c r="G8" s="23"/>
      <c r="H8" s="23" t="s">
        <v>13</v>
      </c>
      <c r="I8" s="23"/>
      <c r="J8" s="1" t="s">
        <v>11</v>
      </c>
      <c r="K8" s="2" t="s">
        <v>12</v>
      </c>
    </row>
    <row r="9" spans="2:16" x14ac:dyDescent="0.35">
      <c r="B9" s="4" t="s">
        <v>22</v>
      </c>
      <c r="C9" s="4" t="s">
        <v>23</v>
      </c>
      <c r="D9" s="4" t="s">
        <v>18</v>
      </c>
      <c r="E9" s="4" t="s">
        <v>19</v>
      </c>
      <c r="F9" s="4" t="s">
        <v>4</v>
      </c>
      <c r="G9" s="4" t="s">
        <v>5</v>
      </c>
      <c r="H9" s="4" t="s">
        <v>26</v>
      </c>
      <c r="I9" s="4" t="s">
        <v>27</v>
      </c>
      <c r="J9" s="4" t="s">
        <v>8</v>
      </c>
      <c r="K9" s="4" t="s">
        <v>9</v>
      </c>
      <c r="L9" s="13" t="s">
        <v>31</v>
      </c>
    </row>
    <row r="10" spans="2:16" x14ac:dyDescent="0.35">
      <c r="B10" cm="1">
        <f t="array" ref="B10:B35">_xll.ARRAY.SEQUENCE(0, t, dt)</f>
        <v>0</v>
      </c>
      <c r="C10" cm="1">
        <f t="array" aca="1" ref="C10:C35" ca="1">_xll.RANDOM.BROWNIAN(t_)</f>
        <v>0</v>
      </c>
      <c r="D10" cm="1">
        <f t="array" aca="1" ref="D10:D35" ca="1">1+0*B_</f>
        <v>1</v>
      </c>
      <c r="E10" cm="1">
        <f t="array" aca="1" ref="E10:E35" ca="1">f*EXP(sigma*B_+(mu-sigma*sigma/2)*t_)</f>
        <v>100</v>
      </c>
      <c r="F10" s="10" cm="1">
        <f t="array" aca="1" ref="F10:F35" ca="1">co(put*(t_ = 0) - N*S_/R_)</f>
        <v>3.987761167674492</v>
      </c>
      <c r="G10" s="7" cm="1">
        <f t="array" aca="1" ref="G10:G35" ca="1">co(ad(_N))</f>
        <v>0</v>
      </c>
      <c r="H10" s="10" cm="1">
        <f t="array" aca="1" ref="H10:H35" ca="1">_xlfn.SCAN(0,M,_xlfn.LAMBDA(_xlpm.a,_xlpm.b,_xlpm.a+_xlpm.b))</f>
        <v>3.987761167674492</v>
      </c>
      <c r="I10" s="7" cm="1">
        <f t="array" aca="1" ref="I10:I35" ca="1">_xlfn.VSTACK(_xlfn.DROP(_xlfn.MAP(t_,S_,_xlfn.LAMBDA(_xlpm._t,_xlpm._S,1*(_xlpm._S&lt;k))),-1),0)</f>
        <v>0</v>
      </c>
      <c r="J10" s="7" cm="1">
        <f t="array" aca="1" ref="J10:J35" ca="1">_M * R_ + _N * S_</f>
        <v>3.987761167674492</v>
      </c>
      <c r="K10" cm="1">
        <f t="array" aca="1" ref="K10:K35" ca="1">-M * R_ - N * S_</f>
        <v>-3.987761167674492</v>
      </c>
      <c r="L10" cm="1">
        <f t="array" aca="1" ref="L10:L35" ca="1">_xlfn.MAP(S_,_xlfn.LAMBDA(_xlpm.s,MAX(k-_xlpm.s,0)))</f>
        <v>0</v>
      </c>
      <c r="M10" s="19">
        <f ca="1">put - G10*E10</f>
        <v>3.987761167674492</v>
      </c>
      <c r="N10" s="19">
        <f ca="1">F10-M10</f>
        <v>0</v>
      </c>
    </row>
    <row r="11" spans="2:16" x14ac:dyDescent="0.35">
      <c r="B11">
        <v>0.01</v>
      </c>
      <c r="C11">
        <f ca="1"/>
        <v>-3.059503857057104E-2</v>
      </c>
      <c r="D11">
        <f ca="1"/>
        <v>1</v>
      </c>
      <c r="E11" s="11">
        <f ca="1"/>
        <v>99.370091522863319</v>
      </c>
      <c r="F11" s="10">
        <f ca="1"/>
        <v>-99.370091522863319</v>
      </c>
      <c r="G11" s="7">
        <f ca="1"/>
        <v>1</v>
      </c>
      <c r="H11" s="10">
        <f ca="1"/>
        <v>-95.382330355188827</v>
      </c>
      <c r="I11" s="7">
        <f ca="1"/>
        <v>1</v>
      </c>
      <c r="J11" s="7">
        <f ca="1"/>
        <v>3.987761167674492</v>
      </c>
      <c r="K11">
        <f ca="1"/>
        <v>0</v>
      </c>
      <c r="L11">
        <f ca="1"/>
        <v>0.62990847713668074</v>
      </c>
      <c r="M11" s="19">
        <f ca="1" xml:space="preserve"> - G11*E11</f>
        <v>-99.370091522863319</v>
      </c>
      <c r="N11" s="19">
        <f ca="1">F11-M11</f>
        <v>0</v>
      </c>
    </row>
    <row r="12" spans="2:16" x14ac:dyDescent="0.35">
      <c r="B12">
        <v>0.02</v>
      </c>
      <c r="C12">
        <f ca="1"/>
        <v>-0.12911652290953052</v>
      </c>
      <c r="D12">
        <f ca="1"/>
        <v>1</v>
      </c>
      <c r="E12" s="11">
        <f ca="1"/>
        <v>97.411754040969825</v>
      </c>
      <c r="F12" s="10">
        <f ca="1"/>
        <v>0</v>
      </c>
      <c r="G12" s="7">
        <f ca="1"/>
        <v>0</v>
      </c>
      <c r="H12" s="10">
        <f ca="1"/>
        <v>-95.382330355188827</v>
      </c>
      <c r="I12" s="7">
        <f ca="1"/>
        <v>1</v>
      </c>
      <c r="J12" s="7">
        <f ca="1"/>
        <v>2.0294236857809977</v>
      </c>
      <c r="K12">
        <f ca="1"/>
        <v>0</v>
      </c>
      <c r="L12">
        <f ca="1"/>
        <v>2.588245959030175</v>
      </c>
    </row>
    <row r="13" spans="2:16" x14ac:dyDescent="0.35">
      <c r="B13">
        <v>0.03</v>
      </c>
      <c r="C13">
        <f ca="1"/>
        <v>-0.1491979758577309</v>
      </c>
      <c r="D13">
        <f ca="1"/>
        <v>1</v>
      </c>
      <c r="E13" s="11">
        <f ca="1"/>
        <v>97.001902413032042</v>
      </c>
      <c r="F13" s="10">
        <f ca="1"/>
        <v>0</v>
      </c>
      <c r="G13" s="7">
        <f ca="1"/>
        <v>0</v>
      </c>
      <c r="H13" s="10">
        <f ca="1"/>
        <v>-95.382330355188827</v>
      </c>
      <c r="I13" s="7">
        <f ca="1"/>
        <v>1</v>
      </c>
      <c r="J13" s="7">
        <f ca="1"/>
        <v>1.6195720578432145</v>
      </c>
      <c r="K13">
        <f ca="1"/>
        <v>0</v>
      </c>
      <c r="L13">
        <f ca="1"/>
        <v>2.9980975869679583</v>
      </c>
    </row>
    <row r="14" spans="2:16" x14ac:dyDescent="0.35">
      <c r="B14">
        <v>0.04</v>
      </c>
      <c r="C14">
        <f ca="1"/>
        <v>-0.10799936515984872</v>
      </c>
      <c r="D14">
        <f ca="1"/>
        <v>1</v>
      </c>
      <c r="E14" s="11">
        <f ca="1"/>
        <v>97.784914136154626</v>
      </c>
      <c r="F14" s="10">
        <f ca="1"/>
        <v>0</v>
      </c>
      <c r="G14" s="7">
        <f ca="1"/>
        <v>0</v>
      </c>
      <c r="H14" s="10">
        <f ca="1"/>
        <v>-95.382330355188827</v>
      </c>
      <c r="I14" s="7">
        <f ca="1"/>
        <v>1</v>
      </c>
      <c r="J14" s="7">
        <f ca="1"/>
        <v>2.4025837809657986</v>
      </c>
      <c r="K14">
        <f ca="1"/>
        <v>0</v>
      </c>
      <c r="L14">
        <f ca="1"/>
        <v>2.2150858638453741</v>
      </c>
      <c r="M14" s="19">
        <f ca="1">f*EXP(sigma*C14-sigma^2*B14/2)</f>
        <v>97.784914136154626</v>
      </c>
      <c r="N14" s="19">
        <f ca="1">E14-M14</f>
        <v>0</v>
      </c>
    </row>
    <row r="15" spans="2:16" x14ac:dyDescent="0.35">
      <c r="B15">
        <v>0.05</v>
      </c>
      <c r="C15">
        <f ca="1"/>
        <v>-0.13248106689986311</v>
      </c>
      <c r="D15">
        <f ca="1"/>
        <v>1</v>
      </c>
      <c r="E15" s="11">
        <f ca="1"/>
        <v>97.287836646718588</v>
      </c>
      <c r="F15" s="10">
        <f ca="1"/>
        <v>0</v>
      </c>
      <c r="G15" s="7">
        <f ca="1"/>
        <v>0</v>
      </c>
      <c r="H15" s="10">
        <f ca="1"/>
        <v>-95.382330355188827</v>
      </c>
      <c r="I15" s="7">
        <f ca="1"/>
        <v>1</v>
      </c>
      <c r="J15" s="7">
        <f ca="1"/>
        <v>1.9055062915297611</v>
      </c>
      <c r="K15">
        <f ca="1"/>
        <v>0</v>
      </c>
      <c r="L15">
        <f ca="1"/>
        <v>2.7121633532814116</v>
      </c>
    </row>
    <row r="16" spans="2:16" x14ac:dyDescent="0.35">
      <c r="B16">
        <v>0.06</v>
      </c>
      <c r="C16">
        <f ca="1"/>
        <v>0.12253938735754144</v>
      </c>
      <c r="D16">
        <f ca="1"/>
        <v>1</v>
      </c>
      <c r="E16" s="11">
        <f ca="1"/>
        <v>102.35816287640391</v>
      </c>
      <c r="F16" s="10">
        <f ca="1"/>
        <v>102.35816287640391</v>
      </c>
      <c r="G16" s="7">
        <f ca="1"/>
        <v>-1</v>
      </c>
      <c r="H16" s="10">
        <f ca="1"/>
        <v>6.9758325212150822</v>
      </c>
      <c r="I16" s="7">
        <f ca="1"/>
        <v>0</v>
      </c>
      <c r="J16" s="7">
        <f ca="1"/>
        <v>6.9758325212150822</v>
      </c>
      <c r="K16">
        <f ca="1"/>
        <v>0</v>
      </c>
      <c r="L16">
        <f ca="1"/>
        <v>0</v>
      </c>
      <c r="M16" s="19" cm="1">
        <f t="array" aca="1" ref="M16" ca="1">_xll.OPTION.BLACK.PUT_DELTA(E16,sigma*SQRT(t - B16),k)</f>
        <v>-0.37791981805764913</v>
      </c>
      <c r="N16" s="19">
        <f ca="1">I16-M16</f>
        <v>0.37791981805764913</v>
      </c>
    </row>
    <row r="17" spans="2:16" x14ac:dyDescent="0.35">
      <c r="B17">
        <v>7.0000000000000007E-2</v>
      </c>
      <c r="C17">
        <f ca="1"/>
        <v>0.11871784907078528</v>
      </c>
      <c r="D17">
        <f ca="1"/>
        <v>1</v>
      </c>
      <c r="E17" s="11">
        <f ca="1"/>
        <v>102.25950569173412</v>
      </c>
      <c r="F17" s="10">
        <f ca="1"/>
        <v>0</v>
      </c>
      <c r="G17" s="7">
        <f ca="1"/>
        <v>0</v>
      </c>
      <c r="H17" s="10">
        <f ca="1"/>
        <v>6.9758325212150822</v>
      </c>
      <c r="I17" s="7">
        <f ca="1"/>
        <v>0</v>
      </c>
      <c r="J17" s="7">
        <f ca="1"/>
        <v>6.9758325212150822</v>
      </c>
      <c r="K17">
        <f ca="1"/>
        <v>0</v>
      </c>
      <c r="L17">
        <f ca="1"/>
        <v>0</v>
      </c>
    </row>
    <row r="18" spans="2:16" x14ac:dyDescent="0.35">
      <c r="B18">
        <v>0.08</v>
      </c>
      <c r="C18">
        <f ca="1"/>
        <v>0.27717818158289231</v>
      </c>
      <c r="D18">
        <f ca="1"/>
        <v>1</v>
      </c>
      <c r="E18" s="11">
        <f ca="1"/>
        <v>105.53111330744743</v>
      </c>
      <c r="F18" s="10">
        <f ca="1"/>
        <v>0</v>
      </c>
      <c r="G18" s="7">
        <f ca="1"/>
        <v>0</v>
      </c>
      <c r="H18" s="10">
        <f ca="1"/>
        <v>6.9758325212150822</v>
      </c>
      <c r="I18" s="7">
        <f ca="1"/>
        <v>0</v>
      </c>
      <c r="J18" s="7">
        <f ca="1"/>
        <v>6.9758325212150822</v>
      </c>
      <c r="K18">
        <f ca="1"/>
        <v>0</v>
      </c>
      <c r="L18">
        <f ca="1"/>
        <v>0</v>
      </c>
    </row>
    <row r="19" spans="2:16" x14ac:dyDescent="0.35">
      <c r="B19">
        <v>0.09</v>
      </c>
      <c r="C19">
        <f ca="1"/>
        <v>0.31699122088255643</v>
      </c>
      <c r="D19">
        <f ca="1"/>
        <v>1</v>
      </c>
      <c r="E19" s="11">
        <f ca="1"/>
        <v>106.35349775144482</v>
      </c>
      <c r="F19" s="10">
        <f ca="1"/>
        <v>0</v>
      </c>
      <c r="G19" s="7">
        <f ca="1"/>
        <v>0</v>
      </c>
      <c r="H19" s="10">
        <f ca="1"/>
        <v>6.9758325212150822</v>
      </c>
      <c r="I19" s="7">
        <f ca="1"/>
        <v>0</v>
      </c>
      <c r="J19" s="7">
        <f ca="1"/>
        <v>6.9758325212150822</v>
      </c>
      <c r="K19">
        <f ca="1"/>
        <v>0</v>
      </c>
      <c r="L19">
        <f ca="1"/>
        <v>0</v>
      </c>
    </row>
    <row r="20" spans="2:16" x14ac:dyDescent="0.35">
      <c r="B20">
        <v>0.1</v>
      </c>
      <c r="C20">
        <f ca="1"/>
        <v>0.35382123995674214</v>
      </c>
      <c r="D20">
        <f ca="1"/>
        <v>1</v>
      </c>
      <c r="E20" s="11">
        <f ca="1"/>
        <v>107.11836456822394</v>
      </c>
      <c r="F20" s="10">
        <f ca="1"/>
        <v>0</v>
      </c>
      <c r="G20" s="7">
        <f ca="1"/>
        <v>0</v>
      </c>
      <c r="H20" s="10">
        <f ca="1"/>
        <v>6.9758325212150822</v>
      </c>
      <c r="I20" s="7">
        <f ca="1"/>
        <v>0</v>
      </c>
      <c r="J20" s="7">
        <f ca="1"/>
        <v>6.9758325212150822</v>
      </c>
      <c r="K20">
        <f ca="1"/>
        <v>0</v>
      </c>
      <c r="L20">
        <f ca="1"/>
        <v>0</v>
      </c>
      <c r="M20" s="6">
        <f t="array" aca="1" ref="M20:M21" ca="1">_xll.MONTE.STDEV(C20)</f>
        <v>-7.9781883801209553E-4</v>
      </c>
      <c r="N20" s="6">
        <v>0</v>
      </c>
      <c r="O20" s="6">
        <f t="array" aca="1" ref="O20:O21" ca="1">_xll.MONTE.STDEV(E20)</f>
        <v>99.979361027602536</v>
      </c>
      <c r="P20" s="6">
        <f>f*EXP(mu*B20)</f>
        <v>100</v>
      </c>
    </row>
    <row r="21" spans="2:16" x14ac:dyDescent="0.35">
      <c r="B21">
        <v>0.11</v>
      </c>
      <c r="C21">
        <f ca="1"/>
        <v>0.25689018397145202</v>
      </c>
      <c r="D21">
        <f ca="1"/>
        <v>1</v>
      </c>
      <c r="E21" s="11">
        <f ca="1"/>
        <v>105.040734525003</v>
      </c>
      <c r="F21" s="10">
        <f ca="1"/>
        <v>0</v>
      </c>
      <c r="G21" s="7">
        <f ca="1"/>
        <v>0</v>
      </c>
      <c r="H21" s="10">
        <f ca="1"/>
        <v>6.9758325212150822</v>
      </c>
      <c r="I21" s="7">
        <f ca="1"/>
        <v>0</v>
      </c>
      <c r="J21" s="7">
        <f ca="1"/>
        <v>6.9758325212150822</v>
      </c>
      <c r="K21">
        <f ca="1"/>
        <v>0</v>
      </c>
      <c r="L21">
        <f ca="1"/>
        <v>0</v>
      </c>
      <c r="M21" s="6">
        <f ca="1"/>
        <v>0.31254790764940454</v>
      </c>
      <c r="N21" s="6">
        <f>SQRT(B20)</f>
        <v>0.31622776601683794</v>
      </c>
      <c r="O21" s="6">
        <f ca="1"/>
        <v>6.2542310040631062</v>
      </c>
      <c r="P21" s="6"/>
    </row>
    <row r="22" spans="2:16" x14ac:dyDescent="0.35">
      <c r="B22">
        <v>0.12</v>
      </c>
      <c r="C22">
        <f ca="1"/>
        <v>0.2365840244871048</v>
      </c>
      <c r="D22">
        <f ca="1"/>
        <v>1</v>
      </c>
      <c r="E22" s="11">
        <f ca="1"/>
        <v>104.59408391335128</v>
      </c>
      <c r="F22" s="10">
        <f ca="1"/>
        <v>0</v>
      </c>
      <c r="G22" s="7">
        <f ca="1"/>
        <v>0</v>
      </c>
      <c r="H22" s="10">
        <f ca="1"/>
        <v>6.9758325212150822</v>
      </c>
      <c r="I22" s="7">
        <f ca="1"/>
        <v>0</v>
      </c>
      <c r="J22" s="7">
        <f ca="1"/>
        <v>6.9758325212150822</v>
      </c>
      <c r="K22">
        <f ca="1"/>
        <v>0</v>
      </c>
      <c r="L22">
        <f ca="1"/>
        <v>0</v>
      </c>
    </row>
    <row r="23" spans="2:16" x14ac:dyDescent="0.35">
      <c r="B23">
        <v>0.13</v>
      </c>
      <c r="C23">
        <f ca="1"/>
        <v>8.3921037255424519E-2</v>
      </c>
      <c r="D23">
        <f ca="1"/>
        <v>1</v>
      </c>
      <c r="E23" s="11">
        <f ca="1"/>
        <v>101.42852806372088</v>
      </c>
      <c r="F23" s="10">
        <f ca="1"/>
        <v>0</v>
      </c>
      <c r="G23" s="7">
        <f ca="1"/>
        <v>0</v>
      </c>
      <c r="H23" s="10">
        <f ca="1"/>
        <v>6.9758325212150822</v>
      </c>
      <c r="I23" s="7">
        <f ca="1"/>
        <v>0</v>
      </c>
      <c r="J23" s="7">
        <f ca="1"/>
        <v>6.9758325212150822</v>
      </c>
      <c r="K23">
        <f ca="1"/>
        <v>0</v>
      </c>
      <c r="L23">
        <f ca="1"/>
        <v>0</v>
      </c>
    </row>
    <row r="24" spans="2:16" x14ac:dyDescent="0.35">
      <c r="B24">
        <v>0.14000000000000001</v>
      </c>
      <c r="C24">
        <f ca="1"/>
        <v>0.1243475595017467</v>
      </c>
      <c r="D24">
        <f ca="1"/>
        <v>1</v>
      </c>
      <c r="E24" s="11">
        <f ca="1"/>
        <v>102.23148450482664</v>
      </c>
      <c r="F24" s="10">
        <f ca="1"/>
        <v>0</v>
      </c>
      <c r="G24" s="7">
        <f ca="1"/>
        <v>0</v>
      </c>
      <c r="H24" s="10">
        <f ca="1"/>
        <v>6.9758325212150822</v>
      </c>
      <c r="I24" s="7">
        <f ca="1"/>
        <v>0</v>
      </c>
      <c r="J24" s="7">
        <f ca="1"/>
        <v>6.9758325212150822</v>
      </c>
      <c r="K24">
        <f ca="1"/>
        <v>0</v>
      </c>
      <c r="L24">
        <f ca="1"/>
        <v>0</v>
      </c>
    </row>
    <row r="25" spans="2:16" x14ac:dyDescent="0.35">
      <c r="B25">
        <v>0.15</v>
      </c>
      <c r="C25">
        <f ca="1"/>
        <v>0.37365551737666647</v>
      </c>
      <c r="D25">
        <f ca="1"/>
        <v>1</v>
      </c>
      <c r="E25" s="11">
        <f ca="1"/>
        <v>107.43664118247587</v>
      </c>
      <c r="F25" s="10">
        <f ca="1"/>
        <v>0</v>
      </c>
      <c r="G25" s="7">
        <f ca="1"/>
        <v>0</v>
      </c>
      <c r="H25" s="10">
        <f ca="1"/>
        <v>6.9758325212150822</v>
      </c>
      <c r="I25" s="7">
        <f ca="1"/>
        <v>0</v>
      </c>
      <c r="J25" s="7">
        <f ca="1"/>
        <v>6.9758325212150822</v>
      </c>
      <c r="K25">
        <f ca="1"/>
        <v>0</v>
      </c>
      <c r="L25">
        <f ca="1"/>
        <v>0</v>
      </c>
    </row>
    <row r="26" spans="2:16" x14ac:dyDescent="0.35">
      <c r="B26">
        <v>0.16</v>
      </c>
      <c r="C26">
        <f ca="1"/>
        <v>0.30143869375663412</v>
      </c>
      <c r="D26">
        <f ca="1"/>
        <v>1</v>
      </c>
      <c r="E26" s="11">
        <f ca="1"/>
        <v>105.87486996093214</v>
      </c>
      <c r="F26" s="10">
        <f ca="1"/>
        <v>0</v>
      </c>
      <c r="G26" s="7">
        <f ca="1"/>
        <v>0</v>
      </c>
      <c r="H26" s="10">
        <f ca="1"/>
        <v>6.9758325212150822</v>
      </c>
      <c r="I26" s="7">
        <f ca="1"/>
        <v>0</v>
      </c>
      <c r="J26" s="7">
        <f ca="1"/>
        <v>6.9758325212150822</v>
      </c>
      <c r="K26">
        <f ca="1"/>
        <v>0</v>
      </c>
      <c r="L26">
        <f ca="1"/>
        <v>0</v>
      </c>
    </row>
    <row r="27" spans="2:16" x14ac:dyDescent="0.35">
      <c r="B27">
        <v>0.17</v>
      </c>
      <c r="C27">
        <f ca="1"/>
        <v>0.31453550164166022</v>
      </c>
      <c r="D27">
        <f ca="1"/>
        <v>1</v>
      </c>
      <c r="E27" s="11">
        <f ca="1"/>
        <v>106.13132966256529</v>
      </c>
      <c r="F27" s="10">
        <f ca="1"/>
        <v>0</v>
      </c>
      <c r="G27" s="7">
        <f ca="1"/>
        <v>0</v>
      </c>
      <c r="H27" s="10">
        <f ca="1"/>
        <v>6.9758325212150822</v>
      </c>
      <c r="I27" s="7">
        <f ca="1"/>
        <v>0</v>
      </c>
      <c r="J27" s="7">
        <f ca="1"/>
        <v>6.9758325212150822</v>
      </c>
      <c r="K27">
        <f ca="1"/>
        <v>0</v>
      </c>
      <c r="L27">
        <f ca="1"/>
        <v>0</v>
      </c>
    </row>
    <row r="28" spans="2:16" x14ac:dyDescent="0.35">
      <c r="B28">
        <v>0.18</v>
      </c>
      <c r="C28">
        <f ca="1"/>
        <v>0.25923574608721456</v>
      </c>
      <c r="D28">
        <f ca="1"/>
        <v>1</v>
      </c>
      <c r="E28" s="11">
        <f ca="1"/>
        <v>104.9429989076645</v>
      </c>
      <c r="F28" s="10">
        <f ca="1"/>
        <v>0</v>
      </c>
      <c r="G28" s="7">
        <f ca="1"/>
        <v>0</v>
      </c>
      <c r="H28" s="10">
        <f ca="1"/>
        <v>6.9758325212150822</v>
      </c>
      <c r="I28" s="7">
        <f ca="1"/>
        <v>0</v>
      </c>
      <c r="J28" s="7">
        <f ca="1"/>
        <v>6.9758325212150822</v>
      </c>
      <c r="K28">
        <f ca="1"/>
        <v>0</v>
      </c>
      <c r="L28">
        <f ca="1"/>
        <v>0</v>
      </c>
    </row>
    <row r="29" spans="2:16" x14ac:dyDescent="0.35">
      <c r="B29">
        <v>0.19</v>
      </c>
      <c r="C29">
        <f ca="1"/>
        <v>0.38201474687548598</v>
      </c>
      <c r="D29">
        <f ca="1"/>
        <v>1</v>
      </c>
      <c r="E29" s="11">
        <f ca="1"/>
        <v>107.53035022156017</v>
      </c>
      <c r="F29" s="10">
        <f ca="1"/>
        <v>0</v>
      </c>
      <c r="G29" s="7">
        <f ca="1"/>
        <v>0</v>
      </c>
      <c r="H29" s="10">
        <f ca="1"/>
        <v>6.9758325212150822</v>
      </c>
      <c r="I29" s="7">
        <f ca="1"/>
        <v>0</v>
      </c>
      <c r="J29" s="7">
        <f ca="1"/>
        <v>6.9758325212150822</v>
      </c>
      <c r="K29">
        <f ca="1"/>
        <v>0</v>
      </c>
      <c r="L29">
        <f ca="1"/>
        <v>0</v>
      </c>
    </row>
    <row r="30" spans="2:16" x14ac:dyDescent="0.35">
      <c r="B30">
        <v>0.2</v>
      </c>
      <c r="C30">
        <f ca="1"/>
        <v>0.32343794242160578</v>
      </c>
      <c r="D30">
        <f ca="1"/>
        <v>1</v>
      </c>
      <c r="E30" s="11">
        <f ca="1"/>
        <v>106.2566904190974</v>
      </c>
      <c r="F30" s="10">
        <f ca="1"/>
        <v>0</v>
      </c>
      <c r="G30" s="7">
        <f ca="1"/>
        <v>0</v>
      </c>
      <c r="H30" s="10">
        <f ca="1"/>
        <v>6.9758325212150822</v>
      </c>
      <c r="I30" s="7">
        <f ca="1"/>
        <v>0</v>
      </c>
      <c r="J30" s="7">
        <f ca="1"/>
        <v>6.9758325212150822</v>
      </c>
      <c r="K30">
        <f ca="1"/>
        <v>0</v>
      </c>
      <c r="L30">
        <f ca="1"/>
        <v>0</v>
      </c>
    </row>
    <row r="31" spans="2:16" x14ac:dyDescent="0.35">
      <c r="B31">
        <v>0.21</v>
      </c>
      <c r="C31">
        <f ca="1"/>
        <v>0.34510334012145144</v>
      </c>
      <c r="D31">
        <f ca="1"/>
        <v>1</v>
      </c>
      <c r="E31" s="11">
        <f ca="1"/>
        <v>106.69676658068221</v>
      </c>
      <c r="F31" s="10">
        <f ca="1"/>
        <v>0</v>
      </c>
      <c r="G31" s="7">
        <f ca="1"/>
        <v>0</v>
      </c>
      <c r="H31" s="10">
        <f ca="1"/>
        <v>6.9758325212150822</v>
      </c>
      <c r="I31" s="7">
        <f ca="1"/>
        <v>0</v>
      </c>
      <c r="J31" s="7">
        <f ca="1"/>
        <v>6.9758325212150822</v>
      </c>
      <c r="K31">
        <f ca="1"/>
        <v>0</v>
      </c>
      <c r="L31">
        <f ca="1"/>
        <v>0</v>
      </c>
    </row>
    <row r="32" spans="2:16" x14ac:dyDescent="0.35">
      <c r="B32">
        <v>0.22</v>
      </c>
      <c r="C32">
        <f ca="1"/>
        <v>0.49615303448870318</v>
      </c>
      <c r="D32">
        <f ca="1"/>
        <v>1</v>
      </c>
      <c r="E32" s="11">
        <f ca="1"/>
        <v>109.94725962771336</v>
      </c>
      <c r="F32" s="10">
        <f ca="1"/>
        <v>0</v>
      </c>
      <c r="G32" s="7">
        <f ca="1"/>
        <v>0</v>
      </c>
      <c r="H32" s="10">
        <f ca="1"/>
        <v>6.9758325212150822</v>
      </c>
      <c r="I32" s="7">
        <f ca="1"/>
        <v>0</v>
      </c>
      <c r="J32" s="7">
        <f ca="1"/>
        <v>6.9758325212150822</v>
      </c>
      <c r="K32">
        <f ca="1"/>
        <v>0</v>
      </c>
      <c r="L32">
        <f ca="1"/>
        <v>0</v>
      </c>
    </row>
    <row r="33" spans="2:12" x14ac:dyDescent="0.35">
      <c r="B33">
        <v>0.23</v>
      </c>
      <c r="C33">
        <f ca="1"/>
        <v>0.49000201699386881</v>
      </c>
      <c r="D33">
        <f ca="1"/>
        <v>1</v>
      </c>
      <c r="E33" s="11">
        <f ca="1"/>
        <v>109.79012506627643</v>
      </c>
      <c r="F33" s="10">
        <f ca="1"/>
        <v>0</v>
      </c>
      <c r="G33" s="7">
        <f ca="1"/>
        <v>0</v>
      </c>
      <c r="H33" s="10">
        <f ca="1"/>
        <v>6.9758325212150822</v>
      </c>
      <c r="I33" s="7">
        <f ca="1"/>
        <v>0</v>
      </c>
      <c r="J33" s="7">
        <f ca="1"/>
        <v>6.9758325212150822</v>
      </c>
      <c r="K33">
        <f ca="1"/>
        <v>0</v>
      </c>
      <c r="L33">
        <f ca="1"/>
        <v>0</v>
      </c>
    </row>
    <row r="34" spans="2:12" x14ac:dyDescent="0.35">
      <c r="B34">
        <v>0.24</v>
      </c>
      <c r="C34">
        <f ca="1"/>
        <v>0.68260623365836259</v>
      </c>
      <c r="D34">
        <f ca="1"/>
        <v>1</v>
      </c>
      <c r="E34" s="11">
        <f ca="1"/>
        <v>114.0790275923594</v>
      </c>
      <c r="F34" s="10">
        <f ca="1"/>
        <v>0</v>
      </c>
      <c r="G34" s="7">
        <f ca="1"/>
        <v>0</v>
      </c>
      <c r="H34" s="10">
        <f ca="1"/>
        <v>6.9758325212150822</v>
      </c>
      <c r="I34" s="7">
        <f ca="1"/>
        <v>0</v>
      </c>
      <c r="J34" s="7">
        <f ca="1"/>
        <v>6.9758325212150822</v>
      </c>
      <c r="K34">
        <f ca="1"/>
        <v>0</v>
      </c>
      <c r="L34">
        <f ca="1"/>
        <v>0</v>
      </c>
    </row>
    <row r="35" spans="2:12" x14ac:dyDescent="0.35">
      <c r="B35">
        <v>0.25</v>
      </c>
      <c r="C35">
        <f ca="1"/>
        <v>0.83447444530998538</v>
      </c>
      <c r="D35">
        <f ca="1"/>
        <v>1</v>
      </c>
      <c r="E35" s="11">
        <f ca="1"/>
        <v>117.57366520434802</v>
      </c>
      <c r="F35" s="10">
        <f ca="1"/>
        <v>-6.9758325212150822</v>
      </c>
      <c r="G35" s="7">
        <f ca="1"/>
        <v>0</v>
      </c>
      <c r="H35" s="10">
        <f ca="1"/>
        <v>0</v>
      </c>
      <c r="I35" s="7">
        <f ca="1"/>
        <v>0</v>
      </c>
      <c r="J35" s="7">
        <f ca="1"/>
        <v>0</v>
      </c>
      <c r="K35">
        <f ca="1"/>
        <v>6.9758325212150822</v>
      </c>
      <c r="L35">
        <f ca="1"/>
        <v>0</v>
      </c>
    </row>
    <row r="36" spans="2:12" x14ac:dyDescent="0.35">
      <c r="E36" s="11"/>
      <c r="F36" s="10"/>
      <c r="G36" s="7"/>
      <c r="H36" s="10"/>
      <c r="I36" s="7" t="s">
        <v>38</v>
      </c>
      <c r="J36" s="7"/>
    </row>
    <row r="37" spans="2:12" x14ac:dyDescent="0.35">
      <c r="E37" s="11"/>
      <c r="F37" s="10"/>
      <c r="G37" s="7"/>
      <c r="H37" s="10"/>
      <c r="I37" s="7"/>
      <c r="J37" s="7"/>
    </row>
    <row r="38" spans="2:12" x14ac:dyDescent="0.35">
      <c r="E38" s="11"/>
      <c r="F38" s="10"/>
      <c r="G38" s="7"/>
      <c r="H38" s="10"/>
      <c r="I38" s="7"/>
      <c r="J38" s="7"/>
    </row>
    <row r="39" spans="2:12" x14ac:dyDescent="0.35">
      <c r="E39" s="11"/>
      <c r="F39" s="10"/>
      <c r="G39" s="7"/>
      <c r="H39" s="10"/>
      <c r="I39" s="7"/>
      <c r="J39" s="7"/>
    </row>
    <row r="40" spans="2:12" x14ac:dyDescent="0.35">
      <c r="E40" s="11"/>
      <c r="F40" s="10"/>
      <c r="G40" s="7"/>
      <c r="H40" s="10"/>
      <c r="I40" s="7"/>
      <c r="J40" s="7"/>
    </row>
    <row r="41" spans="2:12" x14ac:dyDescent="0.35">
      <c r="E41" s="11"/>
      <c r="F41" s="10"/>
      <c r="G41" s="7"/>
      <c r="H41" s="10"/>
      <c r="I41" s="7"/>
      <c r="J41" s="7"/>
    </row>
    <row r="42" spans="2:12" x14ac:dyDescent="0.35">
      <c r="E42" s="11"/>
      <c r="F42" s="10"/>
      <c r="G42" s="7"/>
      <c r="H42" s="10"/>
      <c r="I42" s="7"/>
      <c r="J42" s="7"/>
    </row>
    <row r="43" spans="2:12" x14ac:dyDescent="0.35">
      <c r="E43" s="11"/>
      <c r="F43" s="10"/>
      <c r="G43" s="7"/>
      <c r="H43" s="10"/>
      <c r="I43" s="7"/>
      <c r="J43" s="7"/>
    </row>
    <row r="44" spans="2:12" x14ac:dyDescent="0.35">
      <c r="E44" s="11"/>
      <c r="F44" s="10"/>
      <c r="G44" s="7"/>
      <c r="H44" s="10"/>
      <c r="I44" s="7"/>
      <c r="J44" s="7"/>
    </row>
    <row r="45" spans="2:12" x14ac:dyDescent="0.35">
      <c r="E45" s="11"/>
      <c r="F45" s="10"/>
      <c r="G45" s="7"/>
      <c r="H45" s="10"/>
      <c r="I45" s="7"/>
      <c r="J45" s="7"/>
    </row>
    <row r="46" spans="2:12" x14ac:dyDescent="0.35">
      <c r="E46" s="11"/>
      <c r="F46" s="10"/>
      <c r="G46" s="7"/>
      <c r="H46" s="10"/>
      <c r="I46" s="7"/>
      <c r="J46" s="7"/>
    </row>
    <row r="47" spans="2:12" x14ac:dyDescent="0.35">
      <c r="E47" s="11"/>
      <c r="F47" s="10"/>
      <c r="G47" s="7"/>
      <c r="H47" s="10"/>
      <c r="I47" s="7"/>
      <c r="J47" s="7"/>
    </row>
    <row r="48" spans="2:12" x14ac:dyDescent="0.35">
      <c r="E48" s="11"/>
      <c r="F48" s="10"/>
      <c r="G48" s="7"/>
      <c r="H48" s="10"/>
      <c r="I48" s="7"/>
      <c r="J48" s="7"/>
    </row>
    <row r="49" spans="5:10" x14ac:dyDescent="0.35">
      <c r="E49" s="11"/>
      <c r="F49" s="10"/>
      <c r="G49" s="7"/>
      <c r="H49" s="10"/>
      <c r="I49" s="7"/>
      <c r="J49" s="7"/>
    </row>
    <row r="50" spans="5:10" x14ac:dyDescent="0.35">
      <c r="E50" s="11"/>
      <c r="F50" s="10"/>
      <c r="G50" s="7"/>
      <c r="H50" s="10"/>
      <c r="I50" s="7"/>
      <c r="J50" s="7"/>
    </row>
    <row r="51" spans="5:10" x14ac:dyDescent="0.35">
      <c r="E51" s="11"/>
      <c r="F51" s="10"/>
      <c r="G51" s="7"/>
      <c r="H51" s="10"/>
      <c r="I51" s="7"/>
      <c r="J51" s="7"/>
    </row>
    <row r="52" spans="5:10" x14ac:dyDescent="0.35">
      <c r="E52" s="11"/>
      <c r="F52" s="10"/>
      <c r="G52" s="7"/>
      <c r="H52" s="10"/>
      <c r="I52" s="7"/>
      <c r="J52" s="7"/>
    </row>
    <row r="53" spans="5:10" x14ac:dyDescent="0.35">
      <c r="E53" s="11"/>
      <c r="F53" s="10"/>
      <c r="G53" s="7"/>
      <c r="H53" s="10"/>
      <c r="I53" s="7"/>
      <c r="J53" s="7"/>
    </row>
    <row r="54" spans="5:10" x14ac:dyDescent="0.35">
      <c r="E54" s="11"/>
      <c r="F54" s="10"/>
      <c r="G54" s="7"/>
      <c r="H54" s="10"/>
      <c r="I54" s="7"/>
      <c r="J54" s="7"/>
    </row>
    <row r="55" spans="5:10" x14ac:dyDescent="0.35">
      <c r="E55" s="11"/>
      <c r="F55" s="10"/>
      <c r="G55" s="7"/>
      <c r="H55" s="10"/>
      <c r="I55" s="7"/>
      <c r="J55" s="7"/>
    </row>
    <row r="56" spans="5:10" x14ac:dyDescent="0.35">
      <c r="E56" s="11"/>
      <c r="F56" s="10"/>
      <c r="G56" s="7"/>
      <c r="H56" s="10"/>
      <c r="I56" s="7"/>
      <c r="J56" s="7"/>
    </row>
    <row r="57" spans="5:10" x14ac:dyDescent="0.35">
      <c r="E57" s="11"/>
      <c r="F57" s="10"/>
      <c r="G57" s="7"/>
      <c r="H57" s="10"/>
      <c r="I57" s="7"/>
      <c r="J57" s="7"/>
    </row>
    <row r="58" spans="5:10" x14ac:dyDescent="0.35">
      <c r="E58" s="11"/>
      <c r="F58" s="10"/>
      <c r="G58" s="7"/>
      <c r="H58" s="10"/>
      <c r="I58" s="7"/>
      <c r="J58" s="7"/>
    </row>
    <row r="59" spans="5:10" x14ac:dyDescent="0.35">
      <c r="E59" s="11"/>
      <c r="F59" s="10"/>
      <c r="G59" s="7"/>
      <c r="H59" s="10"/>
      <c r="I59" s="7"/>
      <c r="J59" s="7"/>
    </row>
    <row r="60" spans="5:10" x14ac:dyDescent="0.35">
      <c r="E60" s="11"/>
      <c r="F60" s="10"/>
      <c r="G60" s="7"/>
      <c r="H60" s="10"/>
      <c r="I60" s="7"/>
      <c r="J60" s="7"/>
    </row>
    <row r="61" spans="5:10" x14ac:dyDescent="0.35">
      <c r="E61" s="11"/>
      <c r="F61" s="10"/>
      <c r="G61" s="7"/>
      <c r="H61" s="10"/>
      <c r="I61" s="7"/>
      <c r="J61" s="7"/>
    </row>
    <row r="62" spans="5:10" x14ac:dyDescent="0.35">
      <c r="E62" s="11"/>
      <c r="F62" s="10"/>
      <c r="G62" s="7"/>
      <c r="H62" s="10"/>
      <c r="I62" s="7"/>
      <c r="J62" s="7"/>
    </row>
    <row r="63" spans="5:10" x14ac:dyDescent="0.35">
      <c r="E63" s="11"/>
      <c r="F63" s="10"/>
      <c r="G63" s="7"/>
      <c r="H63" s="10"/>
      <c r="I63" s="7"/>
      <c r="J63" s="7"/>
    </row>
    <row r="64" spans="5:10" x14ac:dyDescent="0.35">
      <c r="E64" s="11"/>
      <c r="F64" s="10"/>
      <c r="G64" s="7"/>
      <c r="H64" s="10"/>
      <c r="I64" s="7"/>
      <c r="J64" s="7"/>
    </row>
    <row r="65" spans="5:10" x14ac:dyDescent="0.35">
      <c r="E65" s="11"/>
      <c r="F65" s="10"/>
      <c r="G65" s="7"/>
      <c r="H65" s="10"/>
      <c r="I65" s="7"/>
      <c r="J65" s="7"/>
    </row>
    <row r="66" spans="5:10" x14ac:dyDescent="0.35">
      <c r="E66" s="11"/>
      <c r="F66" s="10"/>
      <c r="G66" s="7"/>
      <c r="H66" s="10"/>
      <c r="I66" s="7"/>
      <c r="J66" s="7"/>
    </row>
    <row r="67" spans="5:10" x14ac:dyDescent="0.35">
      <c r="E67" s="11"/>
      <c r="F67" s="10"/>
      <c r="G67" s="7"/>
      <c r="H67" s="10"/>
      <c r="I67" s="7"/>
      <c r="J67" s="7"/>
    </row>
    <row r="68" spans="5:10" x14ac:dyDescent="0.35">
      <c r="E68" s="11"/>
      <c r="F68" s="10"/>
      <c r="G68" s="7"/>
      <c r="H68" s="10"/>
      <c r="I68" s="7"/>
      <c r="J68" s="7"/>
    </row>
    <row r="69" spans="5:10" x14ac:dyDescent="0.35">
      <c r="E69" s="11"/>
      <c r="F69" s="10"/>
      <c r="G69" s="7"/>
      <c r="H69" s="10"/>
      <c r="I69" s="7"/>
      <c r="J69" s="7"/>
    </row>
    <row r="70" spans="5:10" x14ac:dyDescent="0.35">
      <c r="E70" s="11"/>
      <c r="F70" s="10"/>
      <c r="G70" s="7"/>
      <c r="H70" s="10"/>
      <c r="I70" s="7"/>
      <c r="J70" s="7"/>
    </row>
    <row r="71" spans="5:10" x14ac:dyDescent="0.35">
      <c r="E71" s="11"/>
      <c r="F71" s="10"/>
      <c r="G71" s="7"/>
      <c r="H71" s="10"/>
      <c r="I71" s="7"/>
      <c r="J71" s="7"/>
    </row>
    <row r="72" spans="5:10" x14ac:dyDescent="0.35">
      <c r="E72" s="11"/>
      <c r="F72" s="10"/>
      <c r="G72" s="7"/>
      <c r="H72" s="10"/>
      <c r="I72" s="7"/>
      <c r="J72" s="7"/>
    </row>
    <row r="73" spans="5:10" x14ac:dyDescent="0.35">
      <c r="E73" s="11"/>
      <c r="F73" s="10"/>
      <c r="G73" s="7"/>
      <c r="H73" s="10"/>
      <c r="I73" s="7"/>
      <c r="J73" s="7"/>
    </row>
    <row r="74" spans="5:10" x14ac:dyDescent="0.35">
      <c r="E74" s="11"/>
      <c r="F74" s="10"/>
      <c r="G74" s="7"/>
      <c r="H74" s="10"/>
      <c r="I74" s="7"/>
      <c r="J74" s="7"/>
    </row>
    <row r="75" spans="5:10" x14ac:dyDescent="0.35">
      <c r="E75" s="11"/>
      <c r="F75" s="10"/>
      <c r="G75" s="7"/>
      <c r="H75" s="10"/>
      <c r="I75" s="7"/>
      <c r="J75" s="7"/>
    </row>
    <row r="76" spans="5:10" x14ac:dyDescent="0.35">
      <c r="E76" s="11"/>
      <c r="F76" s="10"/>
      <c r="G76" s="7"/>
      <c r="H76" s="10"/>
      <c r="I76" s="7"/>
      <c r="J76" s="7"/>
    </row>
    <row r="77" spans="5:10" x14ac:dyDescent="0.35">
      <c r="E77" s="11"/>
      <c r="F77" s="10"/>
      <c r="G77" s="7"/>
      <c r="H77" s="10"/>
      <c r="I77" s="7"/>
      <c r="J77" s="7"/>
    </row>
    <row r="78" spans="5:10" x14ac:dyDescent="0.35">
      <c r="E78" s="11"/>
      <c r="F78" s="10"/>
      <c r="G78" s="7"/>
      <c r="H78" s="10"/>
      <c r="I78" s="7"/>
      <c r="J78" s="7"/>
    </row>
    <row r="79" spans="5:10" x14ac:dyDescent="0.35">
      <c r="E79" s="11"/>
      <c r="F79" s="10"/>
      <c r="G79" s="7"/>
      <c r="H79" s="10"/>
      <c r="I79" s="7"/>
      <c r="J79" s="7"/>
    </row>
    <row r="80" spans="5:10" x14ac:dyDescent="0.35">
      <c r="E80" s="11"/>
      <c r="F80" s="10"/>
      <c r="G80" s="7"/>
      <c r="H80" s="10"/>
      <c r="I80" s="7"/>
      <c r="J80" s="7"/>
    </row>
    <row r="81" spans="5:10" x14ac:dyDescent="0.35">
      <c r="E81" s="11"/>
      <c r="F81" s="10"/>
      <c r="G81" s="7"/>
      <c r="H81" s="10"/>
      <c r="I81" s="7"/>
      <c r="J81" s="7"/>
    </row>
    <row r="82" spans="5:10" x14ac:dyDescent="0.35">
      <c r="E82" s="11"/>
      <c r="F82" s="10"/>
      <c r="G82" s="7"/>
      <c r="H82" s="10"/>
      <c r="I82" s="7"/>
      <c r="J82" s="7"/>
    </row>
    <row r="83" spans="5:10" x14ac:dyDescent="0.35">
      <c r="E83" s="11"/>
      <c r="F83" s="10"/>
      <c r="G83" s="7"/>
      <c r="H83" s="10"/>
      <c r="I83" s="7"/>
      <c r="J83" s="7"/>
    </row>
    <row r="84" spans="5:10" x14ac:dyDescent="0.35">
      <c r="E84" s="11"/>
      <c r="F84" s="10"/>
      <c r="G84" s="7"/>
      <c r="H84" s="10"/>
      <c r="I84" s="7"/>
      <c r="J84" s="7"/>
    </row>
    <row r="85" spans="5:10" x14ac:dyDescent="0.35">
      <c r="E85" s="11"/>
      <c r="F85" s="10"/>
      <c r="G85" s="7"/>
      <c r="H85" s="10"/>
      <c r="I85" s="7"/>
      <c r="J85" s="7"/>
    </row>
    <row r="86" spans="5:10" x14ac:dyDescent="0.35">
      <c r="E86" s="11"/>
      <c r="F86" s="10"/>
      <c r="G86" s="7"/>
      <c r="H86" s="10"/>
      <c r="I86" s="7"/>
      <c r="J86" s="7"/>
    </row>
    <row r="87" spans="5:10" x14ac:dyDescent="0.35">
      <c r="E87" s="11"/>
      <c r="F87" s="10"/>
      <c r="G87" s="7"/>
      <c r="H87" s="10"/>
      <c r="I87" s="7"/>
      <c r="J87" s="7"/>
    </row>
    <row r="88" spans="5:10" x14ac:dyDescent="0.35">
      <c r="E88" s="11"/>
      <c r="F88" s="10"/>
      <c r="G88" s="7"/>
      <c r="H88" s="10"/>
      <c r="I88" s="7"/>
      <c r="J88" s="7"/>
    </row>
    <row r="89" spans="5:10" x14ac:dyDescent="0.35">
      <c r="E89" s="11"/>
      <c r="F89" s="10"/>
      <c r="G89" s="7"/>
      <c r="H89" s="10"/>
      <c r="I89" s="7"/>
      <c r="J89" s="7"/>
    </row>
    <row r="90" spans="5:10" x14ac:dyDescent="0.35">
      <c r="E90" s="11"/>
      <c r="F90" s="10"/>
      <c r="G90" s="7"/>
      <c r="H90" s="10"/>
      <c r="I90" s="7"/>
      <c r="J90" s="7"/>
    </row>
    <row r="91" spans="5:10" x14ac:dyDescent="0.35">
      <c r="E91" s="11"/>
      <c r="F91" s="10"/>
      <c r="G91" s="7"/>
      <c r="H91" s="10"/>
      <c r="I91" s="7"/>
      <c r="J91" s="7"/>
    </row>
    <row r="92" spans="5:10" x14ac:dyDescent="0.35">
      <c r="E92" s="11"/>
      <c r="F92" s="10"/>
      <c r="G92" s="7"/>
      <c r="H92" s="10"/>
      <c r="I92" s="7"/>
      <c r="J92" s="7"/>
    </row>
    <row r="93" spans="5:10" x14ac:dyDescent="0.35">
      <c r="E93" s="11"/>
      <c r="F93" s="10"/>
      <c r="G93" s="7"/>
      <c r="H93" s="10"/>
      <c r="I93" s="7"/>
      <c r="J93" s="7"/>
    </row>
    <row r="94" spans="5:10" x14ac:dyDescent="0.35">
      <c r="E94" s="11"/>
      <c r="F94" s="10"/>
      <c r="G94" s="7"/>
      <c r="H94" s="10"/>
      <c r="I94" s="7"/>
      <c r="J94" s="7"/>
    </row>
    <row r="95" spans="5:10" x14ac:dyDescent="0.35">
      <c r="E95" s="11"/>
      <c r="F95" s="10"/>
      <c r="G95" s="7"/>
      <c r="H95" s="10"/>
      <c r="I95" s="7"/>
      <c r="J95" s="7"/>
    </row>
    <row r="96" spans="5:10" x14ac:dyDescent="0.35">
      <c r="E96" s="11"/>
      <c r="F96" s="10"/>
      <c r="G96" s="7"/>
      <c r="H96" s="10"/>
      <c r="I96" s="7"/>
      <c r="J96" s="7"/>
    </row>
    <row r="97" spans="5:10" x14ac:dyDescent="0.35">
      <c r="E97" s="11"/>
      <c r="F97" s="10"/>
      <c r="G97" s="7"/>
      <c r="H97" s="10"/>
      <c r="I97" s="7"/>
      <c r="J97" s="7"/>
    </row>
    <row r="98" spans="5:10" x14ac:dyDescent="0.35">
      <c r="E98" s="11"/>
      <c r="F98" s="10"/>
      <c r="G98" s="7"/>
      <c r="H98" s="10"/>
      <c r="I98" s="7"/>
      <c r="J98" s="7"/>
    </row>
    <row r="99" spans="5:10" x14ac:dyDescent="0.35">
      <c r="E99" s="11"/>
      <c r="F99" s="10"/>
      <c r="G99" s="7"/>
      <c r="H99" s="10"/>
      <c r="I99" s="7"/>
    </row>
    <row r="100" spans="5:10" x14ac:dyDescent="0.35">
      <c r="E100" s="11"/>
      <c r="F100" s="10"/>
      <c r="G100" s="7"/>
      <c r="H100" s="10"/>
      <c r="I100" s="7"/>
    </row>
    <row r="101" spans="5:10" x14ac:dyDescent="0.35">
      <c r="E101" s="11"/>
      <c r="F101" s="10"/>
      <c r="G101" s="7"/>
      <c r="H101" s="10"/>
      <c r="I101" s="7"/>
    </row>
    <row r="102" spans="5:10" x14ac:dyDescent="0.35">
      <c r="E102" s="11"/>
      <c r="F102" s="10"/>
      <c r="G102" s="7"/>
      <c r="H102" s="10"/>
      <c r="I102" s="7"/>
    </row>
    <row r="103" spans="5:10" x14ac:dyDescent="0.35">
      <c r="E103" s="11"/>
      <c r="F103" s="10"/>
      <c r="G103" s="7"/>
      <c r="H103" s="10"/>
      <c r="I103" s="7"/>
    </row>
    <row r="104" spans="5:10" x14ac:dyDescent="0.35">
      <c r="E104" s="11"/>
      <c r="F104" s="10"/>
      <c r="G104" s="7"/>
      <c r="H104" s="10"/>
      <c r="I104" s="7"/>
    </row>
    <row r="105" spans="5:10" x14ac:dyDescent="0.35">
      <c r="E105" s="11"/>
      <c r="F105" s="10"/>
      <c r="G105" s="7"/>
      <c r="H105" s="10"/>
      <c r="I105" s="7"/>
    </row>
    <row r="106" spans="5:10" x14ac:dyDescent="0.35">
      <c r="E106" s="11"/>
      <c r="F106" s="10"/>
      <c r="G106" s="7"/>
      <c r="H106" s="10"/>
      <c r="I106" s="7"/>
    </row>
    <row r="107" spans="5:10" x14ac:dyDescent="0.35">
      <c r="E107" s="11"/>
      <c r="F107" s="10"/>
      <c r="G107" s="7"/>
      <c r="H107" s="10"/>
      <c r="I107" s="7"/>
    </row>
    <row r="108" spans="5:10" x14ac:dyDescent="0.35">
      <c r="E108" s="11"/>
      <c r="F108" s="10"/>
      <c r="G108" s="7"/>
      <c r="H108" s="10"/>
      <c r="I108" s="7"/>
    </row>
    <row r="109" spans="5:10" x14ac:dyDescent="0.35">
      <c r="E109" s="11"/>
      <c r="F109" s="10"/>
      <c r="G109" s="7"/>
      <c r="H109" s="10"/>
      <c r="I109" s="7"/>
    </row>
    <row r="110" spans="5:10" x14ac:dyDescent="0.35">
      <c r="E110" s="11"/>
      <c r="F110" s="10"/>
      <c r="G110" s="7"/>
      <c r="H110" s="10"/>
      <c r="I110" s="7"/>
    </row>
    <row r="111" spans="5:10" x14ac:dyDescent="0.35">
      <c r="F111" s="10"/>
      <c r="G111" s="7"/>
      <c r="H111" s="10"/>
      <c r="I111" s="7"/>
    </row>
    <row r="112" spans="5:10" x14ac:dyDescent="0.35">
      <c r="F112" s="10"/>
      <c r="G112" s="7"/>
      <c r="H112" s="10"/>
      <c r="I112" s="7"/>
    </row>
    <row r="113" spans="6:9" x14ac:dyDescent="0.35">
      <c r="F113" s="10"/>
      <c r="G113" s="7"/>
      <c r="H113" s="10"/>
      <c r="I113" s="7"/>
    </row>
    <row r="114" spans="6:9" x14ac:dyDescent="0.35">
      <c r="F114" s="10"/>
      <c r="G114" s="7"/>
      <c r="H114" s="10"/>
      <c r="I114" s="7"/>
    </row>
    <row r="115" spans="6:9" x14ac:dyDescent="0.35">
      <c r="F115" s="10"/>
      <c r="G115" s="7"/>
      <c r="H115" s="10"/>
      <c r="I115" s="7"/>
    </row>
    <row r="116" spans="6:9" x14ac:dyDescent="0.35">
      <c r="F116" s="10"/>
      <c r="G116" s="7"/>
      <c r="H116" s="10"/>
      <c r="I116" s="7"/>
    </row>
    <row r="117" spans="6:9" x14ac:dyDescent="0.35">
      <c r="F117" s="10"/>
      <c r="G117" s="7"/>
      <c r="H117" s="10"/>
      <c r="I117" s="7"/>
    </row>
    <row r="118" spans="6:9" x14ac:dyDescent="0.35">
      <c r="F118" s="10"/>
      <c r="G118" s="7"/>
      <c r="H118" s="10"/>
      <c r="I118" s="7"/>
    </row>
    <row r="119" spans="6:9" x14ac:dyDescent="0.35">
      <c r="F119" s="10"/>
      <c r="G119" s="7"/>
      <c r="H119" s="10"/>
      <c r="I119" s="7"/>
    </row>
    <row r="120" spans="6:9" x14ac:dyDescent="0.35">
      <c r="F120" s="10"/>
      <c r="G120" s="7"/>
      <c r="H120" s="10"/>
      <c r="I120" s="7"/>
    </row>
    <row r="121" spans="6:9" x14ac:dyDescent="0.35">
      <c r="F121" s="10"/>
      <c r="G121" s="7"/>
      <c r="H121" s="10"/>
      <c r="I121" s="7"/>
    </row>
    <row r="122" spans="6:9" x14ac:dyDescent="0.35">
      <c r="F122" s="10"/>
      <c r="G122" s="7"/>
      <c r="H122" s="10"/>
      <c r="I122" s="7"/>
    </row>
    <row r="123" spans="6:9" x14ac:dyDescent="0.35">
      <c r="F123" s="10"/>
      <c r="G123" s="7"/>
      <c r="H123" s="10"/>
      <c r="I123" s="7"/>
    </row>
    <row r="124" spans="6:9" x14ac:dyDescent="0.35">
      <c r="F124" s="10"/>
      <c r="G124" s="7"/>
      <c r="H124" s="10"/>
      <c r="I124" s="7"/>
    </row>
    <row r="125" spans="6:9" x14ac:dyDescent="0.35">
      <c r="F125" s="10"/>
      <c r="G125" s="7"/>
      <c r="H125" s="10"/>
      <c r="I125" s="7"/>
    </row>
    <row r="126" spans="6:9" x14ac:dyDescent="0.35">
      <c r="F126" s="10"/>
      <c r="G126" s="7"/>
      <c r="H126" s="10"/>
      <c r="I126" s="7"/>
    </row>
    <row r="127" spans="6:9" x14ac:dyDescent="0.35">
      <c r="F127" s="10"/>
      <c r="G127" s="7"/>
      <c r="H127" s="10"/>
      <c r="I127" s="7"/>
    </row>
    <row r="128" spans="6:9" x14ac:dyDescent="0.35">
      <c r="F128" s="10"/>
      <c r="G128" s="7"/>
      <c r="H128" s="10"/>
      <c r="I128" s="7"/>
    </row>
    <row r="129" spans="6:9" x14ac:dyDescent="0.35">
      <c r="F129" s="10"/>
      <c r="G129" s="7"/>
      <c r="H129" s="10"/>
      <c r="I129" s="7"/>
    </row>
    <row r="130" spans="6:9" x14ac:dyDescent="0.35">
      <c r="F130" s="10"/>
      <c r="G130" s="7"/>
      <c r="H130" s="10"/>
      <c r="I130" s="7"/>
    </row>
    <row r="131" spans="6:9" x14ac:dyDescent="0.35">
      <c r="F131" s="10"/>
      <c r="G131" s="7"/>
      <c r="H131" s="10"/>
      <c r="I131" s="7"/>
    </row>
    <row r="132" spans="6:9" x14ac:dyDescent="0.35">
      <c r="F132" s="10"/>
      <c r="G132" s="7"/>
      <c r="H132" s="10"/>
      <c r="I132" s="7"/>
    </row>
    <row r="133" spans="6:9" x14ac:dyDescent="0.35">
      <c r="F133" s="10"/>
      <c r="G133" s="7"/>
      <c r="H133" s="10"/>
      <c r="I133" s="7"/>
    </row>
    <row r="134" spans="6:9" x14ac:dyDescent="0.35">
      <c r="F134" s="10"/>
      <c r="G134" s="7"/>
      <c r="H134" s="10"/>
      <c r="I134" s="7"/>
    </row>
    <row r="135" spans="6:9" x14ac:dyDescent="0.35">
      <c r="F135" s="10"/>
      <c r="G135" s="7"/>
      <c r="H135" s="10"/>
      <c r="I135" s="7"/>
    </row>
    <row r="136" spans="6:9" x14ac:dyDescent="0.35">
      <c r="F136" s="10"/>
      <c r="G136" s="7"/>
      <c r="H136" s="10"/>
      <c r="I136" s="7"/>
    </row>
    <row r="137" spans="6:9" x14ac:dyDescent="0.35">
      <c r="F137" s="10"/>
      <c r="G137" s="7"/>
      <c r="H137" s="10"/>
      <c r="I137" s="7"/>
    </row>
    <row r="138" spans="6:9" x14ac:dyDescent="0.35">
      <c r="F138" s="10"/>
      <c r="G138" s="7"/>
      <c r="H138" s="10"/>
      <c r="I138" s="7"/>
    </row>
    <row r="139" spans="6:9" x14ac:dyDescent="0.35">
      <c r="F139" s="10"/>
      <c r="G139" s="7"/>
      <c r="H139" s="10"/>
      <c r="I139" s="7"/>
    </row>
    <row r="140" spans="6:9" x14ac:dyDescent="0.35">
      <c r="F140" s="10"/>
      <c r="G140" s="7"/>
      <c r="H140" s="10"/>
      <c r="I140" s="7"/>
    </row>
    <row r="141" spans="6:9" x14ac:dyDescent="0.35">
      <c r="F141" s="10"/>
      <c r="G141" s="7"/>
      <c r="H141" s="10"/>
      <c r="I141" s="7"/>
    </row>
    <row r="142" spans="6:9" x14ac:dyDescent="0.35">
      <c r="F142" s="10"/>
      <c r="G142" s="7"/>
      <c r="H142" s="10"/>
      <c r="I142" s="7"/>
    </row>
    <row r="143" spans="6:9" x14ac:dyDescent="0.35">
      <c r="F143" s="10"/>
      <c r="G143" s="7"/>
      <c r="I143" s="7"/>
    </row>
    <row r="144" spans="6:9" x14ac:dyDescent="0.35">
      <c r="F144" s="10"/>
      <c r="G144" s="7"/>
      <c r="I144" s="7"/>
    </row>
    <row r="145" spans="6:9" x14ac:dyDescent="0.35">
      <c r="F145" s="10"/>
      <c r="G145" s="7"/>
      <c r="I145" s="7"/>
    </row>
    <row r="146" spans="6:9" x14ac:dyDescent="0.35">
      <c r="F146" s="10"/>
      <c r="G146" s="7"/>
      <c r="I146" s="7"/>
    </row>
    <row r="147" spans="6:9" x14ac:dyDescent="0.35">
      <c r="F147" s="10"/>
      <c r="G147" s="7"/>
      <c r="I147" s="7"/>
    </row>
    <row r="148" spans="6:9" x14ac:dyDescent="0.35">
      <c r="F148" s="10"/>
      <c r="G148" s="7"/>
      <c r="I148" s="7"/>
    </row>
    <row r="149" spans="6:9" x14ac:dyDescent="0.35">
      <c r="F149" s="10"/>
      <c r="G149" s="7"/>
      <c r="I149" s="7"/>
    </row>
    <row r="150" spans="6:9" x14ac:dyDescent="0.35">
      <c r="F150" s="10"/>
      <c r="G150" s="7"/>
      <c r="I150" s="7"/>
    </row>
    <row r="151" spans="6:9" x14ac:dyDescent="0.35">
      <c r="F151" s="10"/>
      <c r="G151" s="7"/>
      <c r="I151" s="7"/>
    </row>
    <row r="152" spans="6:9" x14ac:dyDescent="0.35">
      <c r="F152" s="10"/>
      <c r="G152" s="7"/>
      <c r="I152" s="7"/>
    </row>
    <row r="153" spans="6:9" x14ac:dyDescent="0.35">
      <c r="F153" s="10"/>
      <c r="G153" s="7"/>
      <c r="I153" s="7"/>
    </row>
    <row r="154" spans="6:9" x14ac:dyDescent="0.35">
      <c r="F154" s="10"/>
      <c r="G154" s="7"/>
      <c r="I154" s="7"/>
    </row>
    <row r="155" spans="6:9" x14ac:dyDescent="0.35">
      <c r="F155" s="10"/>
      <c r="G155" s="7"/>
      <c r="I155" s="7"/>
    </row>
    <row r="156" spans="6:9" x14ac:dyDescent="0.35">
      <c r="F156" s="10"/>
      <c r="G156" s="7"/>
      <c r="I156" s="7"/>
    </row>
    <row r="157" spans="6:9" x14ac:dyDescent="0.35">
      <c r="F157" s="10"/>
      <c r="G157" s="7"/>
      <c r="I157" s="7"/>
    </row>
    <row r="158" spans="6:9" x14ac:dyDescent="0.35">
      <c r="F158" s="10"/>
      <c r="G158" s="7"/>
      <c r="I158" s="7"/>
    </row>
    <row r="159" spans="6:9" x14ac:dyDescent="0.35">
      <c r="F159" s="10"/>
      <c r="G159" s="7"/>
      <c r="I159" s="7"/>
    </row>
    <row r="160" spans="6:9" x14ac:dyDescent="0.35">
      <c r="F160" s="10"/>
      <c r="G160" s="7"/>
      <c r="I160" s="7"/>
    </row>
    <row r="161" spans="6:9" x14ac:dyDescent="0.35">
      <c r="F161" s="10"/>
      <c r="G161" s="7"/>
      <c r="I161" s="7"/>
    </row>
    <row r="162" spans="6:9" x14ac:dyDescent="0.35">
      <c r="F162" s="10"/>
      <c r="G162" s="7"/>
      <c r="I162" s="7"/>
    </row>
    <row r="163" spans="6:9" x14ac:dyDescent="0.35">
      <c r="F163" s="10"/>
      <c r="G163" s="7"/>
      <c r="I163" s="7"/>
    </row>
    <row r="164" spans="6:9" x14ac:dyDescent="0.35">
      <c r="F164" s="10"/>
      <c r="G164" s="7"/>
      <c r="I164" s="7"/>
    </row>
    <row r="165" spans="6:9" x14ac:dyDescent="0.35">
      <c r="F165" s="10"/>
      <c r="G165" s="7"/>
    </row>
    <row r="166" spans="6:9" x14ac:dyDescent="0.35">
      <c r="F166" s="10"/>
      <c r="G166" s="7"/>
    </row>
    <row r="167" spans="6:9" x14ac:dyDescent="0.35">
      <c r="F167" s="10"/>
      <c r="G167" s="7"/>
    </row>
    <row r="168" spans="6:9" x14ac:dyDescent="0.35">
      <c r="F168" s="10"/>
      <c r="G168" s="7"/>
    </row>
    <row r="169" spans="6:9" x14ac:dyDescent="0.35">
      <c r="F169" s="10"/>
      <c r="G169" s="7"/>
    </row>
    <row r="170" spans="6:9" x14ac:dyDescent="0.35">
      <c r="F170" s="10"/>
      <c r="G170" s="7"/>
    </row>
    <row r="171" spans="6:9" x14ac:dyDescent="0.35">
      <c r="F171" s="10"/>
      <c r="G171" s="7"/>
    </row>
    <row r="172" spans="6:9" x14ac:dyDescent="0.35">
      <c r="F172" s="10"/>
      <c r="G172" s="7"/>
    </row>
    <row r="173" spans="6:9" x14ac:dyDescent="0.35">
      <c r="F173" s="10"/>
      <c r="G173" s="7"/>
    </row>
    <row r="174" spans="6:9" x14ac:dyDescent="0.35">
      <c r="F174" s="10"/>
      <c r="G174" s="7"/>
    </row>
    <row r="175" spans="6:9" x14ac:dyDescent="0.35">
      <c r="F175" s="10"/>
      <c r="G175" s="7"/>
    </row>
    <row r="176" spans="6:9" x14ac:dyDescent="0.35">
      <c r="F176" s="10"/>
      <c r="G176" s="7"/>
    </row>
    <row r="177" spans="6:7" x14ac:dyDescent="0.35">
      <c r="F177" s="10"/>
      <c r="G177" s="7"/>
    </row>
    <row r="178" spans="6:7" x14ac:dyDescent="0.35">
      <c r="F178" s="10"/>
      <c r="G178" s="7"/>
    </row>
    <row r="179" spans="6:7" x14ac:dyDescent="0.35">
      <c r="F179" s="10"/>
      <c r="G179" s="7"/>
    </row>
    <row r="180" spans="6:7" x14ac:dyDescent="0.35">
      <c r="F180" s="10"/>
      <c r="G180" s="7"/>
    </row>
    <row r="181" spans="6:7" x14ac:dyDescent="0.35">
      <c r="F181" s="10"/>
      <c r="G181" s="7"/>
    </row>
    <row r="182" spans="6:7" x14ac:dyDescent="0.35">
      <c r="F182" s="10"/>
      <c r="G182" s="7"/>
    </row>
    <row r="183" spans="6:7" x14ac:dyDescent="0.35">
      <c r="F183" s="10"/>
      <c r="G183" s="7"/>
    </row>
    <row r="184" spans="6:7" x14ac:dyDescent="0.35">
      <c r="F184" s="10"/>
      <c r="G184" s="7"/>
    </row>
    <row r="185" spans="6:7" x14ac:dyDescent="0.35">
      <c r="F185" s="10"/>
      <c r="G185" s="7"/>
    </row>
    <row r="186" spans="6:7" x14ac:dyDescent="0.35">
      <c r="F186" s="10"/>
      <c r="G186" s="7"/>
    </row>
    <row r="187" spans="6:7" x14ac:dyDescent="0.35">
      <c r="G187" s="7"/>
    </row>
    <row r="188" spans="6:7" x14ac:dyDescent="0.35">
      <c r="G188" s="7"/>
    </row>
    <row r="189" spans="6:7" x14ac:dyDescent="0.35">
      <c r="G189" s="7"/>
    </row>
    <row r="190" spans="6:7" x14ac:dyDescent="0.35">
      <c r="G190" s="7"/>
    </row>
    <row r="191" spans="6:7" x14ac:dyDescent="0.35">
      <c r="G191" s="7"/>
    </row>
    <row r="192" spans="6:7" x14ac:dyDescent="0.35">
      <c r="G192" s="7"/>
    </row>
    <row r="193" spans="7:7" x14ac:dyDescent="0.35">
      <c r="G193" s="7"/>
    </row>
    <row r="194" spans="7:7" x14ac:dyDescent="0.35">
      <c r="G194" s="7"/>
    </row>
    <row r="195" spans="7:7" x14ac:dyDescent="0.35">
      <c r="G195" s="7"/>
    </row>
    <row r="196" spans="7:7" x14ac:dyDescent="0.35">
      <c r="G196" s="7"/>
    </row>
    <row r="197" spans="7:7" x14ac:dyDescent="0.35">
      <c r="G197" s="7"/>
    </row>
    <row r="198" spans="7:7" x14ac:dyDescent="0.35">
      <c r="G198" s="7"/>
    </row>
    <row r="199" spans="7:7" x14ac:dyDescent="0.35">
      <c r="G199" s="7"/>
    </row>
    <row r="200" spans="7:7" x14ac:dyDescent="0.35">
      <c r="G200" s="7"/>
    </row>
    <row r="201" spans="7:7" x14ac:dyDescent="0.35">
      <c r="G201" s="7"/>
    </row>
    <row r="202" spans="7:7" x14ac:dyDescent="0.35">
      <c r="G202" s="7"/>
    </row>
    <row r="203" spans="7:7" x14ac:dyDescent="0.35">
      <c r="G203" s="7"/>
    </row>
    <row r="204" spans="7:7" x14ac:dyDescent="0.35">
      <c r="G204" s="7"/>
    </row>
    <row r="205" spans="7:7" x14ac:dyDescent="0.35">
      <c r="G205" s="7"/>
    </row>
    <row r="206" spans="7:7" x14ac:dyDescent="0.35">
      <c r="G206" s="7"/>
    </row>
    <row r="207" spans="7:7" x14ac:dyDescent="0.35">
      <c r="G207" s="7"/>
    </row>
    <row r="208" spans="7:7" x14ac:dyDescent="0.35">
      <c r="G208" s="7"/>
    </row>
  </sheetData>
  <mergeCells count="3">
    <mergeCell ref="D8:E8"/>
    <mergeCell ref="F8:G8"/>
    <mergeCell ref="H8:I8"/>
  </mergeCells>
  <phoneticPr fontId="1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CFF5-3680-4B59-8794-E5EDDECF4E5F}">
  <dimension ref="A1:E24"/>
  <sheetViews>
    <sheetView workbookViewId="0">
      <selection activeCell="A25" sqref="A25"/>
    </sheetView>
  </sheetViews>
  <sheetFormatPr defaultRowHeight="17.5" x14ac:dyDescent="0.35"/>
  <sheetData>
    <row r="1" spans="1:5" x14ac:dyDescent="0.35">
      <c r="A1" t="s">
        <v>32</v>
      </c>
      <c r="B1" t="s">
        <v>33</v>
      </c>
      <c r="D1" t="s">
        <v>34</v>
      </c>
      <c r="E1" t="s">
        <v>35</v>
      </c>
    </row>
    <row r="2" spans="1:5" x14ac:dyDescent="0.35">
      <c r="A2">
        <v>1E-3</v>
      </c>
      <c r="B2" s="24">
        <v>3.028</v>
      </c>
      <c r="D2">
        <f>LOG(A2)</f>
        <v>-3</v>
      </c>
      <c r="E2">
        <f>LOG(B2)</f>
        <v>0.48115587082803513</v>
      </c>
    </row>
    <row r="3" spans="1:5" x14ac:dyDescent="0.35">
      <c r="A3">
        <v>2E-3</v>
      </c>
      <c r="B3" s="24">
        <v>3.0270000000000001</v>
      </c>
      <c r="D3">
        <f t="shared" ref="D3:E11" si="0">LOG(A3)</f>
        <v>-2.6989700043360187</v>
      </c>
      <c r="E3">
        <f t="shared" si="0"/>
        <v>0.48101242095657298</v>
      </c>
    </row>
    <row r="4" spans="1:5" x14ac:dyDescent="0.35">
      <c r="A4">
        <v>3.0000000000000001E-3</v>
      </c>
      <c r="B4" s="24">
        <v>2.9359999999999999</v>
      </c>
      <c r="D4">
        <f t="shared" si="0"/>
        <v>-2.5228787452803374</v>
      </c>
      <c r="E4">
        <f t="shared" si="0"/>
        <v>0.46775605124403291</v>
      </c>
    </row>
    <row r="5" spans="1:5" x14ac:dyDescent="0.35">
      <c r="A5">
        <v>4.0000000000000001E-3</v>
      </c>
      <c r="B5" s="24">
        <v>3.03</v>
      </c>
      <c r="D5">
        <f t="shared" si="0"/>
        <v>-2.3979400086720375</v>
      </c>
      <c r="E5">
        <f t="shared" si="0"/>
        <v>0.48144262850230496</v>
      </c>
    </row>
    <row r="6" spans="1:5" x14ac:dyDescent="0.35">
      <c r="A6">
        <v>5.0000000000000001E-3</v>
      </c>
      <c r="B6" s="24">
        <v>2.9609999999999999</v>
      </c>
      <c r="D6">
        <f t="shared" si="0"/>
        <v>-2.3010299956639813</v>
      </c>
      <c r="E6">
        <f t="shared" si="0"/>
        <v>0.47143840738929915</v>
      </c>
    </row>
    <row r="7" spans="1:5" x14ac:dyDescent="0.35">
      <c r="A7">
        <v>6.0000000000000001E-3</v>
      </c>
      <c r="B7" s="24">
        <v>2.9529999999999998</v>
      </c>
      <c r="D7">
        <f t="shared" si="0"/>
        <v>-2.2218487496163561</v>
      </c>
      <c r="E7">
        <f t="shared" si="0"/>
        <v>0.47026344696507844</v>
      </c>
    </row>
    <row r="8" spans="1:5" x14ac:dyDescent="0.35">
      <c r="A8">
        <v>7.0000000000000001E-3</v>
      </c>
      <c r="B8" s="24">
        <v>2.9580000000000002</v>
      </c>
      <c r="D8">
        <f t="shared" si="0"/>
        <v>-2.1549019599857431</v>
      </c>
      <c r="E8">
        <f t="shared" si="0"/>
        <v>0.47099816966087366</v>
      </c>
    </row>
    <row r="9" spans="1:5" x14ac:dyDescent="0.35">
      <c r="A9">
        <v>8.0000000000000002E-3</v>
      </c>
      <c r="B9" s="24">
        <v>2.9540000000000002</v>
      </c>
      <c r="D9">
        <f t="shared" si="0"/>
        <v>-2.0969100130080562</v>
      </c>
      <c r="E9">
        <f t="shared" si="0"/>
        <v>0.47041049097593074</v>
      </c>
    </row>
    <row r="10" spans="1:5" x14ac:dyDescent="0.35">
      <c r="A10">
        <v>8.9999999999999993E-3</v>
      </c>
      <c r="B10" s="24">
        <v>2.9510000000000001</v>
      </c>
      <c r="D10">
        <f t="shared" si="0"/>
        <v>-2.0457574905606752</v>
      </c>
      <c r="E10">
        <f t="shared" si="0"/>
        <v>0.46996920949995952</v>
      </c>
    </row>
    <row r="11" spans="1:5" x14ac:dyDescent="0.35">
      <c r="A11">
        <v>0.01</v>
      </c>
      <c r="B11" s="24">
        <v>2.9630000000000001</v>
      </c>
      <c r="D11">
        <f t="shared" si="0"/>
        <v>-2</v>
      </c>
      <c r="E11">
        <f t="shared" si="0"/>
        <v>0.47173165148005108</v>
      </c>
    </row>
    <row r="13" spans="1:5" ht="17.5" customHeight="1" x14ac:dyDescent="0.35">
      <c r="A13" s="25" t="s">
        <v>37</v>
      </c>
      <c r="B13" s="25"/>
      <c r="C13" s="25"/>
    </row>
    <row r="14" spans="1:5" x14ac:dyDescent="0.35">
      <c r="A14" s="25"/>
      <c r="B14" s="25"/>
      <c r="C14" s="25"/>
    </row>
    <row r="15" spans="1:5" x14ac:dyDescent="0.35">
      <c r="A15" s="25"/>
      <c r="B15" s="25"/>
      <c r="C15" s="25"/>
    </row>
    <row r="16" spans="1:5" x14ac:dyDescent="0.35">
      <c r="A16" s="25"/>
      <c r="B16" s="25"/>
      <c r="C16" s="25"/>
    </row>
    <row r="17" spans="1:3" x14ac:dyDescent="0.35">
      <c r="A17" s="25"/>
      <c r="B17" s="25"/>
      <c r="C17" s="25"/>
    </row>
    <row r="18" spans="1:3" x14ac:dyDescent="0.35">
      <c r="A18" s="25"/>
      <c r="B18" s="25"/>
      <c r="C18" s="25"/>
    </row>
    <row r="19" spans="1:3" x14ac:dyDescent="0.35">
      <c r="A19" s="25"/>
      <c r="B19" s="25"/>
      <c r="C19" s="25"/>
    </row>
    <row r="20" spans="1:3" x14ac:dyDescent="0.35">
      <c r="A20" s="25"/>
      <c r="B20" s="25"/>
      <c r="C20" s="25"/>
    </row>
    <row r="21" spans="1:3" x14ac:dyDescent="0.35">
      <c r="A21" s="25"/>
      <c r="B21" s="25"/>
      <c r="C21" s="25"/>
    </row>
    <row r="22" spans="1:3" x14ac:dyDescent="0.35">
      <c r="A22" s="25"/>
      <c r="B22" s="25"/>
      <c r="C22" s="25"/>
    </row>
    <row r="23" spans="1:3" x14ac:dyDescent="0.35">
      <c r="A23" s="25"/>
      <c r="B23" s="25"/>
      <c r="C23" s="25"/>
    </row>
    <row r="24" spans="1:3" x14ac:dyDescent="0.35">
      <c r="A24" s="25"/>
      <c r="B24" s="25"/>
      <c r="C24" s="25"/>
    </row>
  </sheetData>
  <mergeCells count="1">
    <mergeCell ref="A13:C24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22</vt:i4>
      </vt:variant>
    </vt:vector>
  </HeadingPairs>
  <TitlesOfParts>
    <vt:vector size="27" baseType="lpstr">
      <vt:lpstr>Elementary</vt:lpstr>
      <vt:lpstr>Simulation</vt:lpstr>
      <vt:lpstr>Accuracy</vt:lpstr>
      <vt:lpstr>Simulation (2)</vt:lpstr>
      <vt:lpstr>Accuracy (2)</vt:lpstr>
      <vt:lpstr>'Simulation (2)'!dt</vt:lpstr>
      <vt:lpstr>dt</vt:lpstr>
      <vt:lpstr>'Simulation (2)'!error</vt:lpstr>
      <vt:lpstr>error</vt:lpstr>
      <vt:lpstr>'Simulation (2)'!f</vt:lpstr>
      <vt:lpstr>f</vt:lpstr>
      <vt:lpstr>'Simulation (2)'!hedge</vt:lpstr>
      <vt:lpstr>hedge</vt:lpstr>
      <vt:lpstr>'Simulation (2)'!k</vt:lpstr>
      <vt:lpstr>k</vt:lpstr>
      <vt:lpstr>'Simulation (2)'!last</vt:lpstr>
      <vt:lpstr>last</vt:lpstr>
      <vt:lpstr>'Simulation (2)'!mu</vt:lpstr>
      <vt:lpstr>mu</vt:lpstr>
      <vt:lpstr>'Simulation (2)'!payoff</vt:lpstr>
      <vt:lpstr>payoff</vt:lpstr>
      <vt:lpstr>'Simulation (2)'!put</vt:lpstr>
      <vt:lpstr>put</vt:lpstr>
      <vt:lpstr>'Simulation (2)'!sigma</vt:lpstr>
      <vt:lpstr>sigma</vt:lpstr>
      <vt:lpstr>'Simulation (2)'!t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Kexin Tan</cp:lastModifiedBy>
  <dcterms:created xsi:type="dcterms:W3CDTF">2026-02-23T20:58:14Z</dcterms:created>
  <dcterms:modified xsi:type="dcterms:W3CDTF">2026-03-02T01:51:04Z</dcterms:modified>
</cp:coreProperties>
</file>